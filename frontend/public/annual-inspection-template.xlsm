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hukai-my.sharepoint.com/personal/energysuport_chukai_onmicrosoft_com/Documents/1電気管理/1.1事業場別書類/48 倉吉太陽光/年次点検（倉吉）/倉吉R7年次/"/>
    </mc:Choice>
  </mc:AlternateContent>
  <xr:revisionPtr revIDLastSave="396" documentId="8_{C73516BE-B336-4409-8A32-FFBE24552B39}" xr6:coauthVersionLast="47" xr6:coauthVersionMax="47" xr10:uidLastSave="{2CE5C74D-BDC6-4A1A-B93F-712EDB317BEA}"/>
  <bookViews>
    <workbookView xWindow="-120" yWindow="-120" windowWidth="20730" windowHeight="11040" tabRatio="870" firstSheet="10" xr2:uid="{00000000-000D-0000-FFFF-FFFF00000000}"/>
  </bookViews>
  <sheets>
    <sheet name="表紙" sheetId="24" r:id="rId1"/>
    <sheet name="外観点検" sheetId="2" r:id="rId2"/>
    <sheet name="接地・高圧絶縁" sheetId="3" r:id="rId3"/>
    <sheet name="SOG" sheetId="12" r:id="rId4"/>
    <sheet name="OVGR" sheetId="13" r:id="rId5"/>
    <sheet name="過電流継電器" sheetId="14" r:id="rId6"/>
    <sheet name="不足電圧" sheetId="18" r:id="rId7"/>
    <sheet name="低圧OVGR" sheetId="15" r:id="rId8"/>
    <sheet name="アレイ絶縁A1-A4" sheetId="25" r:id="rId9"/>
    <sheet name="アレイ絶縁A5-B2" sheetId="26" r:id="rId10"/>
    <sheet name="アレイ絶縁B3-C1" sheetId="31" r:id="rId11"/>
    <sheet name="アレイ絶縁C2-C5" sheetId="30" r:id="rId12"/>
    <sheet name="アレイ絶縁C6-C8" sheetId="29" r:id="rId13"/>
    <sheet name="アレイ絶縁D1-D3" sheetId="28" r:id="rId14"/>
    <sheet name="低圧絶縁" sheetId="20" r:id="rId15"/>
    <sheet name="総合保護連動" sheetId="16" r:id="rId16"/>
    <sheet name="2511" sheetId="32" r:id="rId17"/>
    <sheet name="台帳1（通常点検） (2)" sheetId="23" r:id="rId18"/>
  </sheets>
  <externalReferences>
    <externalReference r:id="rId19"/>
  </externalReferences>
  <definedNames>
    <definedName name="_xlnm.Print_Area" localSheetId="4">OVGR!$A$2:$AH$50</definedName>
    <definedName name="_xlnm.Print_Area" localSheetId="17">'台帳1（通常点検） (2)'!$A$1:$O$140</definedName>
    <definedName name="_xlnm.Print_Area" localSheetId="7">低圧OVGR!$A$4:$AH$52</definedName>
    <definedName name="_xlnm.Print_Area" localSheetId="6">不足電圧!$A$4:$AH$51</definedName>
    <definedName name="_xlnm.Print_Titles" localSheetId="17">'台帳1（通常点検） (2)'!$1:$2</definedName>
    <definedName name="見出しの作成">#REF!</definedName>
    <definedName name="用紙変更" localSheetId="17">'台帳1（通常点検） (2)'!#REF!</definedName>
    <definedName name="用紙変更">#REF!</definedName>
  </definedNames>
  <calcPr calcId="191029" iterate="1" iterateDelta="1"/>
  <customWorkbookViews>
    <customWorkbookView name="hondadenkan - 個人用ビュー" guid="{F6F099BF-A37E-4648-970B-C5500207F9F8}" mergeInterval="0" personalView="1" maximized="1" xWindow="-8" yWindow="-8" windowWidth="1616" windowHeight="876" tabRatio="870" activeSheetId="3"/>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19" i="32" l="1"/>
  <c r="Z19" i="32"/>
  <c r="W19" i="32"/>
  <c r="T19" i="32"/>
  <c r="AX17" i="32"/>
  <c r="Z22" i="32" s="1"/>
  <c r="AO22" i="32" s="1"/>
  <c r="D1" i="23"/>
  <c r="B1" i="23"/>
  <c r="S36" i="15"/>
  <c r="AE37" i="14"/>
  <c r="AA37" i="14"/>
  <c r="S37" i="14"/>
  <c r="O37" i="14"/>
  <c r="AE31" i="14"/>
  <c r="AA31" i="14"/>
  <c r="W31" i="14"/>
  <c r="S31" i="14"/>
  <c r="O31" i="14"/>
  <c r="K31" i="14"/>
  <c r="AE29" i="14"/>
  <c r="AA29" i="14"/>
  <c r="W29" i="14"/>
  <c r="S29" i="14"/>
  <c r="O29" i="14"/>
  <c r="K29" i="14"/>
  <c r="AE27" i="14"/>
  <c r="AA27" i="14"/>
  <c r="W27" i="14"/>
  <c r="S27" i="14"/>
  <c r="O27" i="14"/>
  <c r="K27" i="14"/>
  <c r="AE25" i="14"/>
  <c r="AA25" i="14"/>
  <c r="W25" i="14"/>
  <c r="S25" i="14"/>
  <c r="O25" i="14"/>
  <c r="K25" i="14"/>
  <c r="W14" i="14"/>
  <c r="S34" i="13"/>
  <c r="Q22" i="32" l="1"/>
  <c r="AJ22" i="32" s="1"/>
</calcChain>
</file>

<file path=xl/sharedStrings.xml><?xml version="1.0" encoding="utf-8"?>
<sst xmlns="http://schemas.openxmlformats.org/spreadsheetml/2006/main" count="1715" uniqueCount="542">
  <si>
    <t>良</t>
    <rPh sb="0" eb="1">
      <t>リョウ</t>
    </rPh>
    <phoneticPr fontId="2"/>
  </si>
  <si>
    <t>良</t>
  </si>
  <si>
    <t>判    定</t>
  </si>
  <si>
    <t>１０Ω以下</t>
  </si>
  <si>
    <t>良・否</t>
    <rPh sb="2" eb="3">
      <t>ヒ</t>
    </rPh>
    <phoneticPr fontId="2"/>
  </si>
  <si>
    <t>測  定  値       Ω</t>
    <phoneticPr fontId="2"/>
  </si>
  <si>
    <t>ＥＤ</t>
    <phoneticPr fontId="2"/>
  </si>
  <si>
    <t>ＥＡ</t>
    <phoneticPr fontId="2"/>
  </si>
  <si>
    <t>試験印</t>
  </si>
  <si>
    <t>加電圧</t>
  </si>
  <si>
    <t>(DC-V)他</t>
  </si>
  <si>
    <t>備　考</t>
  </si>
  <si>
    <t>弱点比</t>
  </si>
  <si>
    <t>①／②</t>
  </si>
  <si>
    <t>キック現象</t>
  </si>
  <si>
    <t>無し</t>
  </si>
  <si>
    <t>「有」の場合、要再測定</t>
  </si>
  <si>
    <t>シース</t>
  </si>
  <si>
    <t>絶縁抵抗値（管理値：１MΩ以上）</t>
  </si>
  <si>
    <t>－</t>
  </si>
  <si>
    <t>〃</t>
  </si>
  <si>
    <t>1.0〔倍〕</t>
  </si>
  <si>
    <t>外　　観　　点　　検</t>
  </si>
  <si>
    <t>電 気 工 作 物</t>
  </si>
  <si>
    <t>点　　　検　　　項　　　目</t>
  </si>
  <si>
    <t>結 果</t>
  </si>
  <si>
    <t>記　　事</t>
  </si>
  <si>
    <t>引込設備</t>
  </si>
  <si>
    <t>支持物・引込線</t>
  </si>
  <si>
    <t>区分開閉器</t>
  </si>
  <si>
    <t>電線・ケーブル</t>
  </si>
  <si>
    <t>避雷器・接地線</t>
  </si>
  <si>
    <t>地中電線路</t>
  </si>
  <si>
    <t>たるみ、離隔距離、端末亀裂損傷</t>
  </si>
  <si>
    <t>傾き、支持不良、亀裂、損傷</t>
  </si>
  <si>
    <t>受</t>
  </si>
  <si>
    <t>電</t>
  </si>
  <si>
    <t>設</t>
  </si>
  <si>
    <t>備</t>
  </si>
  <si>
    <t>受電室・電気室</t>
  </si>
  <si>
    <t>キユービクル式</t>
  </si>
  <si>
    <t>受・変電設備</t>
  </si>
  <si>
    <t>傾き、腐蝕、施錠、雨漏り、穴</t>
  </si>
  <si>
    <t>遮断器・開閉器</t>
  </si>
  <si>
    <t>断路器</t>
  </si>
  <si>
    <t>変色、接触不良、錆、開閉指示、表示</t>
  </si>
  <si>
    <t>電力ヒューズ</t>
  </si>
  <si>
    <t>計器用変成器</t>
  </si>
  <si>
    <t>母線・支持物</t>
  </si>
  <si>
    <t>避雷器</t>
  </si>
  <si>
    <t>電力用コンデンサ</t>
  </si>
  <si>
    <t>直列リアクトル</t>
  </si>
  <si>
    <t>変色、損傷、ふくらみ</t>
  </si>
  <si>
    <t>端子締付</t>
  </si>
  <si>
    <t>変圧器</t>
  </si>
  <si>
    <t>変色、損傷、端子締付、油漏れ</t>
  </si>
  <si>
    <t>配電盤</t>
  </si>
  <si>
    <t>制御回路</t>
  </si>
  <si>
    <t>表示灯不点、損傷、端子締付</t>
  </si>
  <si>
    <t>蓄電池</t>
  </si>
  <si>
    <t>充電装置</t>
  </si>
  <si>
    <t>変色、損傷、電解液、端子締付</t>
  </si>
  <si>
    <t>接地装置（接地線・保護管等）</t>
  </si>
  <si>
    <t>配電設備</t>
  </si>
  <si>
    <t>支持物</t>
  </si>
  <si>
    <t>開閉器類</t>
  </si>
  <si>
    <t>傾き、支持不良、過熱、変色</t>
  </si>
  <si>
    <t>負</t>
  </si>
  <si>
    <t>荷</t>
  </si>
  <si>
    <t>配線・配線器具</t>
  </si>
  <si>
    <t>電動機</t>
  </si>
  <si>
    <t>電力応用機器</t>
  </si>
  <si>
    <t>照明装置</t>
  </si>
  <si>
    <t>接地線等</t>
  </si>
  <si>
    <t>監視装置</t>
  </si>
  <si>
    <t>気象観測装置</t>
  </si>
  <si>
    <t>過熱変色、損傷、端子締付</t>
  </si>
  <si>
    <t>太陽電池アレイ</t>
  </si>
  <si>
    <t>太陽電池</t>
  </si>
  <si>
    <t>接続箱</t>
  </si>
  <si>
    <t>架台</t>
  </si>
  <si>
    <t>損傷、汚損、固定</t>
  </si>
  <si>
    <t>パワーコンディショナー</t>
  </si>
  <si>
    <t>筐体</t>
  </si>
  <si>
    <t>本体</t>
  </si>
  <si>
    <t>損傷、汚損、固定、</t>
  </si>
  <si>
    <t>自家用電気工作物年次点検試験報告書</t>
  </si>
  <si>
    <t>　設置者</t>
  </si>
  <si>
    <t>電気管理技術者　　第　鳥-５６　号　　　</t>
  </si>
  <si>
    <t xml:space="preserve">　事 業 場 名　　　　　　　　　　　　　　　　　　　　　　　              </t>
  </si>
  <si>
    <t>このたび法令に基づく年次点検ならびに試験を実施いたしましたので、下記のとおりその結果をご報告いたします。</t>
  </si>
  <si>
    <t>№</t>
  </si>
  <si>
    <t>項　　　　目</t>
  </si>
  <si>
    <t>結　　果</t>
  </si>
  <si>
    <t>過電流継電器の動作</t>
  </si>
  <si>
    <t>各種警報表示装置</t>
  </si>
  <si>
    <t>高圧地絡継電器の動作</t>
  </si>
  <si>
    <t>開閉器・ヒューズ等の容量</t>
  </si>
  <si>
    <t>電圧継電器の動作</t>
  </si>
  <si>
    <t>高圧ヒューズの予備</t>
  </si>
  <si>
    <t>高圧機器の塵埃・清掃</t>
  </si>
  <si>
    <t>清掃実施</t>
  </si>
  <si>
    <t>低圧ヒューズの予備</t>
  </si>
  <si>
    <t>高圧開閉装置操作機構</t>
  </si>
  <si>
    <t>高圧ケーブル埋設表示</t>
  </si>
  <si>
    <t>高圧関係絶縁抵抗</t>
  </si>
  <si>
    <t>小動物進入防止対策</t>
  </si>
  <si>
    <t>接地抵抗・接地状況</t>
  </si>
  <si>
    <t>立ち入り禁止表示</t>
  </si>
  <si>
    <t>配電盤表示灯</t>
  </si>
  <si>
    <t>ジスコン棒</t>
  </si>
  <si>
    <t>各配電盤の締付状況</t>
  </si>
  <si>
    <t>キュービクル状況</t>
  </si>
  <si>
    <t>計器の指示</t>
  </si>
  <si>
    <t>低圧関係絶縁抵抗</t>
  </si>
  <si>
    <t>絶縁油試験</t>
  </si>
  <si>
    <t>以上</t>
  </si>
  <si>
    <t>良①</t>
    <phoneticPr fontId="2"/>
  </si>
  <si>
    <t>　</t>
    <phoneticPr fontId="2"/>
  </si>
  <si>
    <t xml:space="preserve"> 朝日ガスエコソリューション株式会社　様</t>
    <phoneticPr fontId="2"/>
  </si>
  <si>
    <t>接地抵抗測定記録</t>
  </si>
  <si>
    <t>接地機器および設置個所</t>
  </si>
  <si>
    <t>備考</t>
    <rPh sb="0" eb="2">
      <t>ビコウ</t>
    </rPh>
    <phoneticPr fontId="2"/>
  </si>
  <si>
    <t>気中開閉器（ＶＴ・ＬＡ内臓）</t>
    <rPh sb="0" eb="2">
      <t>キチュウ</t>
    </rPh>
    <rPh sb="2" eb="5">
      <t>カイヘイキ</t>
    </rPh>
    <rPh sb="11" eb="13">
      <t>ナイゾウ</t>
    </rPh>
    <phoneticPr fontId="2"/>
  </si>
  <si>
    <t>Ａ</t>
    <phoneticPr fontId="2"/>
  </si>
  <si>
    <t>受電キュービクル</t>
    <rPh sb="0" eb="2">
      <t>ジュデン</t>
    </rPh>
    <phoneticPr fontId="2"/>
  </si>
  <si>
    <t>共用接地</t>
    <rPh sb="0" eb="2">
      <t>キョウヨウ</t>
    </rPh>
    <rPh sb="2" eb="4">
      <t>セッチ</t>
    </rPh>
    <phoneticPr fontId="2"/>
  </si>
  <si>
    <t>ＥＣ</t>
    <phoneticPr fontId="2"/>
  </si>
  <si>
    <t>１００Ω以下</t>
    <phoneticPr fontId="2"/>
  </si>
  <si>
    <t>ＥＢ</t>
    <phoneticPr fontId="2"/>
  </si>
  <si>
    <t>７５Ω以下</t>
    <phoneticPr fontId="2"/>
  </si>
  <si>
    <t>ＰＣＳ</t>
    <phoneticPr fontId="2"/>
  </si>
  <si>
    <t>ＥC</t>
    <phoneticPr fontId="2"/>
  </si>
  <si>
    <t>※電路が非接地であることから、通常のB種接地工事で想定される「低圧電路の漏えい電流」が流れることはないため、A種B種共用(電技解釈の解説)</t>
    <rPh sb="55" eb="56">
      <t>シュ</t>
    </rPh>
    <rPh sb="57" eb="58">
      <t>シュ</t>
    </rPh>
    <rPh sb="58" eb="60">
      <t>キョウヨウ</t>
    </rPh>
    <rPh sb="61" eb="63">
      <t>デンギ</t>
    </rPh>
    <rPh sb="63" eb="65">
      <t>カイシャク</t>
    </rPh>
    <rPh sb="66" eb="68">
      <t>カイセツ</t>
    </rPh>
    <phoneticPr fontId="2"/>
  </si>
  <si>
    <t>回　路　機　器　名</t>
  </si>
  <si>
    <t>結　果</t>
  </si>
  <si>
    <t>高圧ケーブル</t>
  </si>
  <si>
    <t>（Ｇ端子接地方式）</t>
  </si>
  <si>
    <t>高圧一括</t>
  </si>
  <si>
    <t>PAS2次～DS1次</t>
  </si>
  <si>
    <t>DS２次一括</t>
  </si>
  <si>
    <t>DS2次～各LBS1次</t>
  </si>
  <si>
    <t>LBS2次～1φ10kVA変圧器</t>
  </si>
  <si>
    <t>〃 ～3φ500kVA変圧器</t>
  </si>
  <si>
    <t xml:space="preserve">打吹（変）＃1　小鴨線　　半田支24左3号 引込  </t>
    <rPh sb="0" eb="2">
      <t>ウツブキ</t>
    </rPh>
    <rPh sb="8" eb="10">
      <t>オガモ</t>
    </rPh>
    <rPh sb="13" eb="15">
      <t>ハンダ</t>
    </rPh>
    <rPh sb="18" eb="19">
      <t>ヒダリ</t>
    </rPh>
    <rPh sb="20" eb="21">
      <t>ゴウ</t>
    </rPh>
    <rPh sb="22" eb="24">
      <t>ヒキコミ</t>
    </rPh>
    <phoneticPr fontId="2"/>
  </si>
  <si>
    <t>種  別</t>
    <phoneticPr fontId="2"/>
  </si>
  <si>
    <t xml:space="preserve">  接  地  </t>
    <phoneticPr fontId="2"/>
  </si>
  <si>
    <t>②</t>
    <phoneticPr fontId="2"/>
  </si>
  <si>
    <t>①</t>
    <phoneticPr fontId="2"/>
  </si>
  <si>
    <t>総 合 判 定</t>
    <phoneticPr fontId="2"/>
  </si>
  <si>
    <t>大地間一 括</t>
    <phoneticPr fontId="2"/>
  </si>
  <si>
    <t>〃 ～3φ500kVA変圧器</t>
    <phoneticPr fontId="2"/>
  </si>
  <si>
    <t>高圧地絡継電器試験成績表</t>
    <rPh sb="2" eb="4">
      <t>チラク</t>
    </rPh>
    <phoneticPr fontId="2"/>
  </si>
  <si>
    <t>継電器仕様</t>
  </si>
  <si>
    <t>施  設  場  所</t>
    <phoneticPr fontId="2"/>
  </si>
  <si>
    <t>製  作  者</t>
    <phoneticPr fontId="2"/>
  </si>
  <si>
    <t>型      式</t>
    <phoneticPr fontId="2"/>
  </si>
  <si>
    <t>製  造  年</t>
    <phoneticPr fontId="2"/>
  </si>
  <si>
    <t>製  造  番  号</t>
    <phoneticPr fontId="2"/>
  </si>
  <si>
    <t>整  定  値</t>
    <phoneticPr fontId="2"/>
  </si>
  <si>
    <t>責任分界点</t>
  </si>
  <si>
    <t>戸上電機製作所</t>
    <rPh sb="0" eb="2">
      <t>トガミ</t>
    </rPh>
    <rPh sb="2" eb="4">
      <t>デンキ</t>
    </rPh>
    <rPh sb="4" eb="7">
      <t>セイサクショ</t>
    </rPh>
    <phoneticPr fontId="2"/>
  </si>
  <si>
    <t>LTR-P-D</t>
    <phoneticPr fontId="2"/>
  </si>
  <si>
    <t>A972106</t>
    <phoneticPr fontId="2"/>
  </si>
  <si>
    <t>0.2秒　　　　　0.2A　　　　    2.0％</t>
    <rPh sb="3" eb="4">
      <t>ビョウ</t>
    </rPh>
    <phoneticPr fontId="2"/>
  </si>
  <si>
    <t>ﾃｽﾄﾎﾞﾀﾝによる動作</t>
    <rPh sb="10" eb="12">
      <t>ドウサ</t>
    </rPh>
    <phoneticPr fontId="2"/>
  </si>
  <si>
    <t>最小動作電流試験</t>
  </si>
  <si>
    <t>V0=114V</t>
    <phoneticPr fontId="2"/>
  </si>
  <si>
    <t>最小動作電圧試験</t>
    <rPh sb="0" eb="2">
      <t>サイショウ</t>
    </rPh>
    <rPh sb="2" eb="4">
      <t>ドウサ</t>
    </rPh>
    <rPh sb="4" eb="6">
      <t>デンアツ</t>
    </rPh>
    <rPh sb="6" eb="8">
      <t>シケン</t>
    </rPh>
    <phoneticPr fontId="2"/>
  </si>
  <si>
    <t>I0=300mA</t>
    <phoneticPr fontId="2"/>
  </si>
  <si>
    <t>整定値　　　　　 （A）</t>
    <rPh sb="0" eb="1">
      <t>セイ</t>
    </rPh>
    <rPh sb="1" eb="2">
      <t>サダム</t>
    </rPh>
    <rPh sb="2" eb="3">
      <t>チ</t>
    </rPh>
    <phoneticPr fontId="2"/>
  </si>
  <si>
    <t>整定値　　　（％）</t>
    <rPh sb="0" eb="3">
      <t>セイテイチ</t>
    </rPh>
    <phoneticPr fontId="2"/>
  </si>
  <si>
    <t>電流感度         (A)</t>
    <phoneticPr fontId="2"/>
  </si>
  <si>
    <t>----</t>
    <phoneticPr fontId="2"/>
  </si>
  <si>
    <t>電圧感度　　（Ｖ）</t>
    <rPh sb="0" eb="2">
      <t>デンアツ</t>
    </rPh>
    <rPh sb="2" eb="4">
      <t>カンド</t>
    </rPh>
    <phoneticPr fontId="2"/>
  </si>
  <si>
    <t>動作時間試験</t>
  </si>
  <si>
    <r>
      <t>V</t>
    </r>
    <r>
      <rPr>
        <vertAlign val="subscript"/>
        <sz val="9"/>
        <rFont val="ＭＳ Ｐ明朝"/>
        <family val="1"/>
        <charset val="128"/>
      </rPr>
      <t>0</t>
    </r>
    <r>
      <rPr>
        <sz val="11"/>
        <rFont val="ＭＳ Ｐ明朝"/>
        <family val="1"/>
        <charset val="128"/>
      </rPr>
      <t>=114V</t>
    </r>
    <phoneticPr fontId="2"/>
  </si>
  <si>
    <r>
      <t>Ｉ</t>
    </r>
    <r>
      <rPr>
        <vertAlign val="subscript"/>
        <sz val="9"/>
        <rFont val="ＭＳ Ｐ明朝"/>
        <family val="1"/>
        <charset val="128"/>
      </rPr>
      <t>0</t>
    </r>
    <r>
      <rPr>
        <sz val="11"/>
        <rFont val="ＭＳ Ｐ明朝"/>
        <family val="1"/>
        <charset val="128"/>
      </rPr>
      <t>値の倍数      （％）</t>
    </r>
    <phoneticPr fontId="2"/>
  </si>
  <si>
    <t>単体動作時間  （秒）</t>
    <phoneticPr fontId="2"/>
  </si>
  <si>
    <t>連動動作時間  （秒）</t>
    <phoneticPr fontId="2"/>
  </si>
  <si>
    <t>----</t>
    <phoneticPr fontId="2"/>
  </si>
  <si>
    <t>位　相　特　性</t>
    <rPh sb="0" eb="3">
      <t>イソウ</t>
    </rPh>
    <rPh sb="4" eb="7">
      <t>トクセイ</t>
    </rPh>
    <phoneticPr fontId="2"/>
  </si>
  <si>
    <t>動作域</t>
    <rPh sb="0" eb="2">
      <t>ドウサ</t>
    </rPh>
    <rPh sb="2" eb="3">
      <t>イキ</t>
    </rPh>
    <phoneticPr fontId="2"/>
  </si>
  <si>
    <r>
      <t>I</t>
    </r>
    <r>
      <rPr>
        <vertAlign val="subscript"/>
        <sz val="9"/>
        <rFont val="ＭＳ Ｐ明朝"/>
        <family val="1"/>
        <charset val="128"/>
      </rPr>
      <t>0</t>
    </r>
    <r>
      <rPr>
        <sz val="11"/>
        <rFont val="ＭＳ Ｐ明朝"/>
        <family val="1"/>
        <charset val="128"/>
      </rPr>
      <t>=2000mA</t>
    </r>
    <phoneticPr fontId="2"/>
  </si>
  <si>
    <t>不動作域</t>
    <rPh sb="0" eb="1">
      <t>フ</t>
    </rPh>
    <rPh sb="1" eb="3">
      <t>ドウサ</t>
    </rPh>
    <rPh sb="3" eb="4">
      <t>イキ</t>
    </rPh>
    <phoneticPr fontId="2"/>
  </si>
  <si>
    <t>総  合  判  定</t>
    <rPh sb="0" eb="4">
      <t>ソウゴウ</t>
    </rPh>
    <phoneticPr fontId="2"/>
  </si>
  <si>
    <t>・動作電流値：制定値±10%　　・動作電圧値：制定値±25%</t>
    <phoneticPr fontId="2"/>
  </si>
  <si>
    <t>・動作時間：制定値±0.1秒　　・位相特性：遅れ45°～75°進み105°～135°</t>
    <phoneticPr fontId="2"/>
  </si>
  <si>
    <t>回　　路　　名</t>
    <phoneticPr fontId="25"/>
  </si>
  <si>
    <t>受電盤(6.6kV母線)</t>
    <rPh sb="0" eb="2">
      <t>ジュデン</t>
    </rPh>
    <rPh sb="2" eb="3">
      <t>バン</t>
    </rPh>
    <rPh sb="9" eb="11">
      <t>ボセン</t>
    </rPh>
    <phoneticPr fontId="25"/>
  </si>
  <si>
    <t>デバイス番号</t>
    <rPh sb="4" eb="6">
      <t>バンゴウ</t>
    </rPh>
    <phoneticPr fontId="25"/>
  </si>
  <si>
    <t>64R</t>
    <phoneticPr fontId="25"/>
  </si>
  <si>
    <t>製　　造　　者</t>
    <rPh sb="0" eb="1">
      <t>セイ</t>
    </rPh>
    <rPh sb="3" eb="4">
      <t>ヅクリ</t>
    </rPh>
    <rPh sb="6" eb="7">
      <t>モノ</t>
    </rPh>
    <phoneticPr fontId="25"/>
  </si>
  <si>
    <t>泰和電気工業</t>
    <rPh sb="0" eb="2">
      <t>タイワ</t>
    </rPh>
    <rPh sb="2" eb="4">
      <t>デンキ</t>
    </rPh>
    <rPh sb="4" eb="6">
      <t>コウギョウ</t>
    </rPh>
    <phoneticPr fontId="25"/>
  </si>
  <si>
    <t>形　　　　　式</t>
    <rPh sb="0" eb="1">
      <t>カタチ</t>
    </rPh>
    <rPh sb="6" eb="7">
      <t>シキ</t>
    </rPh>
    <phoneticPr fontId="25"/>
  </si>
  <si>
    <t>TVG-DV30</t>
    <phoneticPr fontId="25"/>
  </si>
  <si>
    <t>製　造　番　号</t>
    <rPh sb="0" eb="1">
      <t>セイ</t>
    </rPh>
    <rPh sb="2" eb="3">
      <t>ヅクリ</t>
    </rPh>
    <rPh sb="4" eb="5">
      <t>バン</t>
    </rPh>
    <rPh sb="6" eb="7">
      <t>ゴウ</t>
    </rPh>
    <phoneticPr fontId="25"/>
  </si>
  <si>
    <t>0493</t>
    <phoneticPr fontId="2"/>
  </si>
  <si>
    <t>製　　造　　年</t>
    <rPh sb="0" eb="1">
      <t>セイ</t>
    </rPh>
    <rPh sb="3" eb="4">
      <t>ヅクリ</t>
    </rPh>
    <rPh sb="6" eb="7">
      <t>トシ</t>
    </rPh>
    <phoneticPr fontId="25"/>
  </si>
  <si>
    <t>2016年</t>
    <phoneticPr fontId="2"/>
  </si>
  <si>
    <t>整定値</t>
    <rPh sb="0" eb="1">
      <t>セイ</t>
    </rPh>
    <rPh sb="1" eb="2">
      <t>テイ</t>
    </rPh>
    <rPh sb="2" eb="3">
      <t>チ</t>
    </rPh>
    <phoneticPr fontId="25"/>
  </si>
  <si>
    <t>動作値</t>
    <rPh sb="0" eb="2">
      <t>ドウサ</t>
    </rPh>
    <rPh sb="2" eb="3">
      <t>チ</t>
    </rPh>
    <phoneticPr fontId="25"/>
  </si>
  <si>
    <t>(V)</t>
    <phoneticPr fontId="25"/>
  </si>
  <si>
    <t>動作時間</t>
    <rPh sb="0" eb="2">
      <t>ドウサ</t>
    </rPh>
    <rPh sb="2" eb="4">
      <t>ジカン</t>
    </rPh>
    <phoneticPr fontId="25"/>
  </si>
  <si>
    <t>(s)</t>
    <phoneticPr fontId="25"/>
  </si>
  <si>
    <t>動作電圧値</t>
    <rPh sb="0" eb="2">
      <t>ドウサ</t>
    </rPh>
    <rPh sb="2" eb="5">
      <t>デンアツチ</t>
    </rPh>
    <phoneticPr fontId="25"/>
  </si>
  <si>
    <t>復帰電圧値</t>
    <rPh sb="0" eb="2">
      <t>フッキ</t>
    </rPh>
    <rPh sb="2" eb="5">
      <t>デンアツチ</t>
    </rPh>
    <phoneticPr fontId="25"/>
  </si>
  <si>
    <t xml:space="preserve">整定値の150%(228V)      </t>
    <rPh sb="0" eb="1">
      <t>セイ</t>
    </rPh>
    <rPh sb="1" eb="2">
      <t>テイ</t>
    </rPh>
    <rPh sb="2" eb="3">
      <t>チ</t>
    </rPh>
    <phoneticPr fontId="25"/>
  </si>
  <si>
    <t>(s)</t>
    <phoneticPr fontId="2"/>
  </si>
  <si>
    <t>(s)</t>
    <phoneticPr fontId="25"/>
  </si>
  <si>
    <t>トリップテスト</t>
    <phoneticPr fontId="25"/>
  </si>
  <si>
    <t>-</t>
    <phoneticPr fontId="2"/>
  </si>
  <si>
    <t>外見上の異常</t>
    <rPh sb="0" eb="2">
      <t>ガイケン</t>
    </rPh>
    <rPh sb="2" eb="3">
      <t>ジョウ</t>
    </rPh>
    <rPh sb="4" eb="6">
      <t>イジョウ</t>
    </rPh>
    <phoneticPr fontId="25"/>
  </si>
  <si>
    <t>無</t>
    <rPh sb="0" eb="1">
      <t>ム</t>
    </rPh>
    <phoneticPr fontId="25"/>
  </si>
  <si>
    <t>総　合　判　定</t>
    <rPh sb="0" eb="1">
      <t>フサ</t>
    </rPh>
    <rPh sb="2" eb="3">
      <t>ゴウ</t>
    </rPh>
    <rPh sb="4" eb="5">
      <t>ハン</t>
    </rPh>
    <rPh sb="6" eb="7">
      <t>サダム</t>
    </rPh>
    <phoneticPr fontId="25"/>
  </si>
  <si>
    <t>良</t>
    <rPh sb="0" eb="1">
      <t>リョウ</t>
    </rPh>
    <phoneticPr fontId="25"/>
  </si>
  <si>
    <t>備　　考</t>
    <rPh sb="0" eb="1">
      <t>ビ</t>
    </rPh>
    <rPh sb="3" eb="4">
      <t>コウ</t>
    </rPh>
    <phoneticPr fontId="25"/>
  </si>
  <si>
    <t>・動作電圧：整定値±25%</t>
    <rPh sb="1" eb="3">
      <t>ドウサ</t>
    </rPh>
    <rPh sb="3" eb="5">
      <t>デンアツ</t>
    </rPh>
    <phoneticPr fontId="2"/>
  </si>
  <si>
    <t>・復帰電圧：動作値×90%以上</t>
    <rPh sb="1" eb="3">
      <t>フッキ</t>
    </rPh>
    <rPh sb="3" eb="5">
      <t>デンアツ</t>
    </rPh>
    <phoneticPr fontId="2"/>
  </si>
  <si>
    <t>・動作時間：整定置×150%時、整定値±20ms以内</t>
    <rPh sb="14" eb="15">
      <t>ジ</t>
    </rPh>
    <phoneticPr fontId="2"/>
  </si>
  <si>
    <t>過電流継電器試験成績表</t>
    <rPh sb="0" eb="1">
      <t>カ</t>
    </rPh>
    <rPh sb="1" eb="3">
      <t>デンリュウ</t>
    </rPh>
    <rPh sb="3" eb="6">
      <t>ケイデンキ</t>
    </rPh>
    <rPh sb="6" eb="8">
      <t>シケン</t>
    </rPh>
    <rPh sb="8" eb="10">
      <t>セイセキ</t>
    </rPh>
    <rPh sb="10" eb="11">
      <t>ヒョウ</t>
    </rPh>
    <phoneticPr fontId="25"/>
  </si>
  <si>
    <t>受電盤</t>
    <rPh sb="0" eb="2">
      <t>ジュデン</t>
    </rPh>
    <rPh sb="2" eb="3">
      <t>バン</t>
    </rPh>
    <phoneticPr fontId="25"/>
  </si>
  <si>
    <t>相</t>
    <rPh sb="0" eb="1">
      <t>ソウ</t>
    </rPh>
    <phoneticPr fontId="25"/>
  </si>
  <si>
    <t>R</t>
    <phoneticPr fontId="25"/>
  </si>
  <si>
    <t>T</t>
    <phoneticPr fontId="25"/>
  </si>
  <si>
    <t>51R</t>
    <phoneticPr fontId="25"/>
  </si>
  <si>
    <t>TOC-DA10</t>
    <phoneticPr fontId="25"/>
  </si>
  <si>
    <t>6515</t>
    <phoneticPr fontId="2"/>
  </si>
  <si>
    <t>2015年</t>
    <phoneticPr fontId="2"/>
  </si>
  <si>
    <t>変　　流　　比</t>
    <rPh sb="0" eb="1">
      <t>ヘン</t>
    </rPh>
    <rPh sb="3" eb="4">
      <t>ナガレ</t>
    </rPh>
    <rPh sb="6" eb="7">
      <t>ヒ</t>
    </rPh>
    <phoneticPr fontId="25"/>
  </si>
  <si>
    <t>150/5A</t>
    <phoneticPr fontId="25"/>
  </si>
  <si>
    <t>限時電流</t>
    <rPh sb="0" eb="1">
      <t>ゲン</t>
    </rPh>
    <rPh sb="1" eb="2">
      <t>ジ</t>
    </rPh>
    <rPh sb="2" eb="4">
      <t>デンリュウ</t>
    </rPh>
    <phoneticPr fontId="25"/>
  </si>
  <si>
    <t>(A)</t>
    <phoneticPr fontId="25"/>
  </si>
  <si>
    <t>限時時間</t>
    <rPh sb="0" eb="1">
      <t>ゲン</t>
    </rPh>
    <rPh sb="1" eb="2">
      <t>ジ</t>
    </rPh>
    <rPh sb="2" eb="4">
      <t>ジカン</t>
    </rPh>
    <phoneticPr fontId="25"/>
  </si>
  <si>
    <t>瞬時電流</t>
    <rPh sb="0" eb="2">
      <t>シュンジ</t>
    </rPh>
    <rPh sb="2" eb="4">
      <t>デンリュウ</t>
    </rPh>
    <phoneticPr fontId="25"/>
  </si>
  <si>
    <t>限時電流動作値</t>
    <phoneticPr fontId="25"/>
  </si>
  <si>
    <t>限</t>
    <rPh sb="0" eb="1">
      <t>キリ</t>
    </rPh>
    <phoneticPr fontId="25"/>
  </si>
  <si>
    <t>整定値の150%</t>
    <rPh sb="0" eb="3">
      <t>セイテイチ</t>
    </rPh>
    <phoneticPr fontId="25"/>
  </si>
  <si>
    <t>時</t>
    <rPh sb="0" eb="1">
      <t>ジ</t>
    </rPh>
    <phoneticPr fontId="25"/>
  </si>
  <si>
    <t>動</t>
    <rPh sb="0" eb="1">
      <t>ドウ</t>
    </rPh>
    <phoneticPr fontId="25"/>
  </si>
  <si>
    <t>整定値の200%</t>
    <phoneticPr fontId="25"/>
  </si>
  <si>
    <t>作</t>
    <rPh sb="0" eb="1">
      <t>サ</t>
    </rPh>
    <phoneticPr fontId="25"/>
  </si>
  <si>
    <t>整定値の300%</t>
    <phoneticPr fontId="25"/>
  </si>
  <si>
    <t>間</t>
    <rPh sb="0" eb="1">
      <t>カン</t>
    </rPh>
    <phoneticPr fontId="25"/>
  </si>
  <si>
    <t>整定値の500%</t>
    <phoneticPr fontId="25"/>
  </si>
  <si>
    <t>瞬時電流動作値</t>
    <phoneticPr fontId="25"/>
  </si>
  <si>
    <t>CB連動動作時間</t>
    <rPh sb="2" eb="4">
      <t>レンドウ</t>
    </rPh>
    <rPh sb="4" eb="6">
      <t>ドウサ</t>
    </rPh>
    <rPh sb="6" eb="8">
      <t>ジカン</t>
    </rPh>
    <phoneticPr fontId="25"/>
  </si>
  <si>
    <t>NO1 500kVA(300V母線)</t>
    <rPh sb="15" eb="17">
      <t>ボセン</t>
    </rPh>
    <phoneticPr fontId="25"/>
  </si>
  <si>
    <t>NO2 500kVA(300V母線)</t>
    <rPh sb="15" eb="17">
      <t>ボセン</t>
    </rPh>
    <phoneticPr fontId="25"/>
  </si>
  <si>
    <t>OVGR1</t>
    <phoneticPr fontId="25"/>
  </si>
  <si>
    <t>光商工</t>
    <rPh sb="0" eb="1">
      <t>ヒカリ</t>
    </rPh>
    <rPh sb="1" eb="3">
      <t>ショウコウ</t>
    </rPh>
    <phoneticPr fontId="25"/>
  </si>
  <si>
    <t>LVG-7S</t>
    <phoneticPr fontId="25"/>
  </si>
  <si>
    <t>305792</t>
    <phoneticPr fontId="2"/>
  </si>
  <si>
    <t>305793</t>
    <phoneticPr fontId="2"/>
  </si>
  <si>
    <t>(V)</t>
    <phoneticPr fontId="25"/>
  </si>
  <si>
    <t xml:space="preserve"> 30V(10%)</t>
    <phoneticPr fontId="2"/>
  </si>
  <si>
    <t xml:space="preserve"> 30V(10%)</t>
    <phoneticPr fontId="2"/>
  </si>
  <si>
    <t xml:space="preserve">整定値の150%(45V)      </t>
    <rPh sb="0" eb="1">
      <t>セイ</t>
    </rPh>
    <rPh sb="1" eb="2">
      <t>テイ</t>
    </rPh>
    <rPh sb="2" eb="3">
      <t>チ</t>
    </rPh>
    <phoneticPr fontId="25"/>
  </si>
  <si>
    <t>総合保護連動試験</t>
    <rPh sb="0" eb="2">
      <t>ソウゴウ</t>
    </rPh>
    <rPh sb="2" eb="4">
      <t>ホゴ</t>
    </rPh>
    <rPh sb="4" eb="6">
      <t>レンドウ</t>
    </rPh>
    <rPh sb="6" eb="8">
      <t>シケン</t>
    </rPh>
    <phoneticPr fontId="2"/>
  </si>
  <si>
    <t>　64R動作時にPCSが運転停止し、復帰時に自動運転しない事を確認</t>
    <rPh sb="6" eb="7">
      <t>ジ</t>
    </rPh>
    <rPh sb="18" eb="20">
      <t>フッキ</t>
    </rPh>
    <rPh sb="20" eb="21">
      <t>ジ</t>
    </rPh>
    <rPh sb="22" eb="24">
      <t>ジドウ</t>
    </rPh>
    <rPh sb="24" eb="26">
      <t>ウンテン</t>
    </rPh>
    <rPh sb="29" eb="30">
      <t>コト</t>
    </rPh>
    <phoneticPr fontId="2"/>
  </si>
  <si>
    <t>　67R動作時にPASが動作し、PCSが停止する事を確認</t>
    <rPh sb="4" eb="6">
      <t>ドウサ</t>
    </rPh>
    <rPh sb="6" eb="7">
      <t>ジ</t>
    </rPh>
    <rPh sb="12" eb="14">
      <t>ドウサ</t>
    </rPh>
    <rPh sb="20" eb="22">
      <t>テイシ</t>
    </rPh>
    <rPh sb="24" eb="25">
      <t>コト</t>
    </rPh>
    <rPh sb="26" eb="28">
      <t>カクニン</t>
    </rPh>
    <phoneticPr fontId="2"/>
  </si>
  <si>
    <t>　51R動作時に遮断器が動作し、PCSが停止する事を確認</t>
    <rPh sb="4" eb="6">
      <t>ドウサ</t>
    </rPh>
    <rPh sb="6" eb="7">
      <t>ジ</t>
    </rPh>
    <rPh sb="8" eb="11">
      <t>シャダンキ</t>
    </rPh>
    <rPh sb="12" eb="14">
      <t>ドウサ</t>
    </rPh>
    <rPh sb="20" eb="22">
      <t>テイシ</t>
    </rPh>
    <rPh sb="24" eb="25">
      <t>コト</t>
    </rPh>
    <rPh sb="26" eb="28">
      <t>カクニン</t>
    </rPh>
    <phoneticPr fontId="2"/>
  </si>
  <si>
    <t>　遮断器の再投入時に、PCSが運転しない事を確認</t>
    <rPh sb="1" eb="4">
      <t>シャダンキ</t>
    </rPh>
    <rPh sb="5" eb="8">
      <t>サイトウニュウ</t>
    </rPh>
    <rPh sb="8" eb="9">
      <t>ジ</t>
    </rPh>
    <rPh sb="15" eb="17">
      <t>ウンテン</t>
    </rPh>
    <rPh sb="20" eb="21">
      <t>コト</t>
    </rPh>
    <rPh sb="22" eb="24">
      <t>カクニン</t>
    </rPh>
    <phoneticPr fontId="2"/>
  </si>
  <si>
    <t>　故障リセットにより、PCSが正常に運転する事を確認</t>
    <rPh sb="1" eb="3">
      <t>コショウ</t>
    </rPh>
    <rPh sb="15" eb="17">
      <t>セイジョウ</t>
    </rPh>
    <rPh sb="18" eb="20">
      <t>ウンテン</t>
    </rPh>
    <rPh sb="22" eb="23">
      <t>コト</t>
    </rPh>
    <rPh sb="24" eb="26">
      <t>カクニン</t>
    </rPh>
    <phoneticPr fontId="2"/>
  </si>
  <si>
    <t>　各警報や表示等が正常に動作する事を確認</t>
    <rPh sb="1" eb="2">
      <t>カク</t>
    </rPh>
    <rPh sb="2" eb="4">
      <t>ケイホウ</t>
    </rPh>
    <rPh sb="5" eb="7">
      <t>ヒョウジ</t>
    </rPh>
    <rPh sb="7" eb="8">
      <t>トウ</t>
    </rPh>
    <rPh sb="9" eb="11">
      <t>セイジョウ</t>
    </rPh>
    <rPh sb="12" eb="14">
      <t>ドウサ</t>
    </rPh>
    <rPh sb="16" eb="17">
      <t>コト</t>
    </rPh>
    <rPh sb="18" eb="20">
      <t>カクニン</t>
    </rPh>
    <phoneticPr fontId="2"/>
  </si>
  <si>
    <t>　備　考</t>
    <rPh sb="1" eb="2">
      <t>ソナエ</t>
    </rPh>
    <rPh sb="3" eb="4">
      <t>コウ</t>
    </rPh>
    <phoneticPr fontId="2"/>
  </si>
  <si>
    <t>製造者名</t>
  </si>
  <si>
    <t>型　式</t>
  </si>
  <si>
    <t>製造番号</t>
  </si>
  <si>
    <t>接地抵抗計</t>
  </si>
  <si>
    <t>絶縁抵抗計</t>
  </si>
  <si>
    <t>三和電気計器</t>
  </si>
  <si>
    <t>DM-1008S</t>
  </si>
  <si>
    <t>HIOKI</t>
  </si>
  <si>
    <t>過電流継電器試験装置</t>
  </si>
  <si>
    <t>双 興 電 機</t>
  </si>
  <si>
    <t>OCR-50CK</t>
  </si>
  <si>
    <t>16X080273</t>
  </si>
  <si>
    <r>
      <t>電圧</t>
    </r>
    <r>
      <rPr>
        <sz val="10.5"/>
        <color rgb="FF000000"/>
        <rFont val="ＭＳ 明朝"/>
        <family val="1"/>
        <charset val="128"/>
      </rPr>
      <t>要素テスタ</t>
    </r>
  </si>
  <si>
    <t>TVD-1000K</t>
  </si>
  <si>
    <t>6T0602581</t>
  </si>
  <si>
    <t>位相特性試験装置</t>
  </si>
  <si>
    <t>ムサシインテック</t>
  </si>
  <si>
    <t>ハイボルトテスター</t>
  </si>
  <si>
    <t>HVT-11K</t>
  </si>
  <si>
    <t>14H040252</t>
  </si>
  <si>
    <t>機　器　名</t>
    <phoneticPr fontId="2"/>
  </si>
  <si>
    <t>【使用試験器等】</t>
    <rPh sb="1" eb="3">
      <t>シヨウ</t>
    </rPh>
    <rPh sb="3" eb="5">
      <t>シケン</t>
    </rPh>
    <rPh sb="5" eb="6">
      <t>キ</t>
    </rPh>
    <rPh sb="6" eb="7">
      <t>ナド</t>
    </rPh>
    <phoneticPr fontId="2"/>
  </si>
  <si>
    <t>不足電圧継電器試験成績表</t>
    <rPh sb="0" eb="2">
      <t>フソク</t>
    </rPh>
    <rPh sb="2" eb="4">
      <t>デンアツ</t>
    </rPh>
    <rPh sb="4" eb="7">
      <t>ケイデンキ</t>
    </rPh>
    <rPh sb="7" eb="9">
      <t>シケン</t>
    </rPh>
    <rPh sb="9" eb="11">
      <t>セイセキ</t>
    </rPh>
    <rPh sb="11" eb="12">
      <t>ヒョウ</t>
    </rPh>
    <phoneticPr fontId="25"/>
  </si>
  <si>
    <t>27R</t>
    <phoneticPr fontId="25"/>
  </si>
  <si>
    <t>TUV-DV10</t>
    <phoneticPr fontId="25"/>
  </si>
  <si>
    <t>20019</t>
    <phoneticPr fontId="2"/>
  </si>
  <si>
    <t>動作電圧</t>
    <rPh sb="0" eb="1">
      <t>ドウ</t>
    </rPh>
    <rPh sb="1" eb="2">
      <t>サク</t>
    </rPh>
    <rPh sb="2" eb="4">
      <t>デンアツ</t>
    </rPh>
    <phoneticPr fontId="25"/>
  </si>
  <si>
    <t>U-V</t>
    <phoneticPr fontId="25"/>
  </si>
  <si>
    <t>　　動作電圧値</t>
    <phoneticPr fontId="25"/>
  </si>
  <si>
    <t>　　復帰電圧値</t>
    <phoneticPr fontId="25"/>
  </si>
  <si>
    <t>(V)</t>
    <phoneticPr fontId="2"/>
  </si>
  <si>
    <t>　　動作時間</t>
    <phoneticPr fontId="25"/>
  </si>
  <si>
    <t>V-W</t>
    <phoneticPr fontId="25"/>
  </si>
  <si>
    <t>　　動作電圧値</t>
    <phoneticPr fontId="25"/>
  </si>
  <si>
    <t>(V)</t>
    <phoneticPr fontId="2"/>
  </si>
  <si>
    <t>　　動作時間</t>
    <phoneticPr fontId="25"/>
  </si>
  <si>
    <t>(s)</t>
    <phoneticPr fontId="25"/>
  </si>
  <si>
    <t>W-U</t>
    <phoneticPr fontId="25"/>
  </si>
  <si>
    <t>　　復帰電圧値</t>
    <phoneticPr fontId="25"/>
  </si>
  <si>
    <t>-</t>
    <phoneticPr fontId="25"/>
  </si>
  <si>
    <t>・電圧誤差±2%以内　</t>
    <phoneticPr fontId="2"/>
  </si>
  <si>
    <t>・動作時間誤差±0.1s以内</t>
    <phoneticPr fontId="2"/>
  </si>
  <si>
    <t>系統NO</t>
  </si>
  <si>
    <t>相</t>
  </si>
  <si>
    <t>測定値</t>
  </si>
  <si>
    <t>判定</t>
  </si>
  <si>
    <t>Rp</t>
  </si>
  <si>
    <t>Rn</t>
  </si>
  <si>
    <t>回路･機器名</t>
  </si>
  <si>
    <t>使用電圧</t>
  </si>
  <si>
    <t>備　　考</t>
  </si>
  <si>
    <t>[受送電盤]</t>
  </si>
  <si>
    <t>100V</t>
  </si>
  <si>
    <t>試験時印加電圧</t>
  </si>
  <si>
    <t>①100V回路＝DC　125 Ｖ　　　　②300V回路＝DC　250　(　500　)Ｖ</t>
  </si>
  <si>
    <t>( )内は400Ｖ</t>
  </si>
  <si>
    <t>良否判定基準</t>
  </si>
  <si>
    <r>
      <t>①</t>
    </r>
    <r>
      <rPr>
        <sz val="7"/>
        <color rgb="FF000000"/>
        <rFont val="Times New Roman"/>
        <family val="1"/>
      </rPr>
      <t xml:space="preserve">   </t>
    </r>
    <r>
      <rPr>
        <sz val="8"/>
        <color rgb="FF000000"/>
        <rFont val="ＭＳ 明朝"/>
        <family val="1"/>
        <charset val="128"/>
      </rPr>
      <t>100V回路＝0.1ＭΩ以上／回路　②300V回路＝0.3(0.4)ＭΩ以上／回路</t>
    </r>
  </si>
  <si>
    <t>同　上</t>
  </si>
  <si>
    <t>UPS1・2電源用</t>
    <rPh sb="8" eb="9">
      <t>ヨウ</t>
    </rPh>
    <phoneticPr fontId="2"/>
  </si>
  <si>
    <t>パワコンA  FAN</t>
    <phoneticPr fontId="2"/>
  </si>
  <si>
    <t>パワコンB  FAN</t>
    <phoneticPr fontId="2"/>
  </si>
  <si>
    <t>FLR警報電源</t>
    <rPh sb="3" eb="5">
      <t>ケイホウ</t>
    </rPh>
    <rPh sb="5" eb="7">
      <t>デンゲン</t>
    </rPh>
    <phoneticPr fontId="2"/>
  </si>
  <si>
    <t>盤内電源</t>
    <rPh sb="0" eb="1">
      <t>バン</t>
    </rPh>
    <rPh sb="1" eb="2">
      <t>ナイ</t>
    </rPh>
    <phoneticPr fontId="2"/>
  </si>
  <si>
    <t>PCS収納箱A</t>
    <rPh sb="3" eb="5">
      <t>シュウノウ</t>
    </rPh>
    <rPh sb="5" eb="6">
      <t>バコ</t>
    </rPh>
    <phoneticPr fontId="2"/>
  </si>
  <si>
    <t>PCS収納箱B</t>
    <rPh sb="3" eb="5">
      <t>シュウノウ</t>
    </rPh>
    <rPh sb="5" eb="6">
      <t>バコ</t>
    </rPh>
    <phoneticPr fontId="2"/>
  </si>
  <si>
    <t>パワコン収納箱A FL・CON</t>
    <rPh sb="4" eb="6">
      <t>シュウノウ</t>
    </rPh>
    <rPh sb="6" eb="7">
      <t>バコ</t>
    </rPh>
    <phoneticPr fontId="2"/>
  </si>
  <si>
    <t>低圧地絡過電圧継電器試験成績表</t>
    <rPh sb="0" eb="2">
      <t>テイアツ</t>
    </rPh>
    <rPh sb="2" eb="4">
      <t>チラク</t>
    </rPh>
    <rPh sb="4" eb="5">
      <t>カ</t>
    </rPh>
    <rPh sb="5" eb="7">
      <t>デンアツ</t>
    </rPh>
    <rPh sb="7" eb="10">
      <t>ケイデンキ</t>
    </rPh>
    <rPh sb="10" eb="12">
      <t>シケン</t>
    </rPh>
    <rPh sb="12" eb="14">
      <t>セイセキ</t>
    </rPh>
    <rPh sb="14" eb="15">
      <t>ヒョウ</t>
    </rPh>
    <phoneticPr fontId="25"/>
  </si>
  <si>
    <t>慣性特性</t>
    <rPh sb="0" eb="2">
      <t>カンセイ</t>
    </rPh>
    <rPh sb="2" eb="4">
      <t>トクセイ</t>
    </rPh>
    <phoneticPr fontId="2"/>
  </si>
  <si>
    <t>良</t>
    <rPh sb="0" eb="1">
      <t>リョウ</t>
    </rPh>
    <phoneticPr fontId="2"/>
  </si>
  <si>
    <t>整定値の400%に該当する電流を50(ms)急激に流し動作しなこと   →</t>
    <rPh sb="0" eb="2">
      <t>セイテイチ</t>
    </rPh>
    <rPh sb="8" eb="10">
      <t>ガイトウ</t>
    </rPh>
    <rPh sb="12" eb="14">
      <t>デンリュウ</t>
    </rPh>
    <rPh sb="21" eb="23">
      <t>キュウゲキ</t>
    </rPh>
    <rPh sb="24" eb="25">
      <t>ナガ</t>
    </rPh>
    <rPh sb="26" eb="28">
      <t>ドウサ</t>
    </rPh>
    <phoneticPr fontId="2"/>
  </si>
  <si>
    <t>－</t>
    <phoneticPr fontId="2"/>
  </si>
  <si>
    <t xml:space="preserve">  本 田   修</t>
    <rPh sb="2" eb="3">
      <t>ホン</t>
    </rPh>
    <rPh sb="4" eb="5">
      <t>タ</t>
    </rPh>
    <rPh sb="8" eb="9">
      <t>オサム</t>
    </rPh>
    <phoneticPr fontId="2"/>
  </si>
  <si>
    <t>良</t>
    <phoneticPr fontId="2"/>
  </si>
  <si>
    <t>太陽電池アレイ絶縁抵抗試験成績表</t>
    <rPh sb="0" eb="2">
      <t>タイヨウ</t>
    </rPh>
    <rPh sb="2" eb="4">
      <t>デンチ</t>
    </rPh>
    <rPh sb="7" eb="9">
      <t>ゼツエン</t>
    </rPh>
    <rPh sb="9" eb="11">
      <t>テイコウ</t>
    </rPh>
    <phoneticPr fontId="2"/>
  </si>
  <si>
    <t>低圧絶縁抵抗測定試験成績表</t>
    <rPh sb="0" eb="2">
      <t>テイアツ</t>
    </rPh>
    <rPh sb="2" eb="4">
      <t>ゼツエン</t>
    </rPh>
    <rPh sb="4" eb="6">
      <t>テイコウ</t>
    </rPh>
    <rPh sb="6" eb="8">
      <t>ソクテイ</t>
    </rPh>
    <rPh sb="8" eb="10">
      <t>シケン</t>
    </rPh>
    <rPh sb="10" eb="12">
      <t>セイセキ</t>
    </rPh>
    <rPh sb="12" eb="13">
      <t>ヒョウ</t>
    </rPh>
    <phoneticPr fontId="2"/>
  </si>
  <si>
    <t>法 定 値</t>
    <phoneticPr fontId="2"/>
  </si>
  <si>
    <t>高圧絶縁抵抗測定記録</t>
    <rPh sb="0" eb="2">
      <t>コウアツ</t>
    </rPh>
    <rPh sb="2" eb="4">
      <t>ゼツエン</t>
    </rPh>
    <rPh sb="4" eb="6">
      <t>テイコウ</t>
    </rPh>
    <rPh sb="6" eb="8">
      <t>ソクテイ</t>
    </rPh>
    <rPh sb="8" eb="10">
      <t>キロク</t>
    </rPh>
    <phoneticPr fontId="2"/>
  </si>
  <si>
    <t>高圧地絡過電圧継電器試験成績表</t>
    <rPh sb="0" eb="2">
      <t>コウアツ</t>
    </rPh>
    <rPh sb="2" eb="4">
      <t>チラク</t>
    </rPh>
    <rPh sb="4" eb="5">
      <t>カ</t>
    </rPh>
    <rPh sb="5" eb="7">
      <t>デンアツ</t>
    </rPh>
    <rPh sb="7" eb="10">
      <t>ケイデンキ</t>
    </rPh>
    <rPh sb="10" eb="12">
      <t>シケン</t>
    </rPh>
    <rPh sb="12" eb="14">
      <t>セイセキ</t>
    </rPh>
    <rPh sb="14" eb="15">
      <t>ヒョウ</t>
    </rPh>
    <phoneticPr fontId="25"/>
  </si>
  <si>
    <t xml:space="preserve"> [単位：MΩ以上,印可試験電圧：500V,管理値：0.4MΩ以上] </t>
    <phoneticPr fontId="2"/>
  </si>
  <si>
    <t>IR-4055</t>
    <phoneticPr fontId="2"/>
  </si>
  <si>
    <t>152V(4.0%)</t>
    <phoneticPr fontId="2"/>
  </si>
  <si>
    <t>----</t>
    <phoneticPr fontId="2"/>
  </si>
  <si>
    <t>管理値</t>
    <rPh sb="0" eb="2">
      <t>カンリ</t>
    </rPh>
    <rPh sb="2" eb="3">
      <t>チ</t>
    </rPh>
    <phoneticPr fontId="2"/>
  </si>
  <si>
    <t xml:space="preserve"> 　　　　</t>
    <phoneticPr fontId="2"/>
  </si>
  <si>
    <t>TOC-DA10</t>
    <phoneticPr fontId="25"/>
  </si>
  <si>
    <t>泰和電気工業TOC-DA10</t>
    <rPh sb="0" eb="2">
      <t>タイワ</t>
    </rPh>
    <rPh sb="2" eb="4">
      <t>デンキ</t>
    </rPh>
    <rPh sb="4" eb="6">
      <t>コウギョウ</t>
    </rPh>
    <phoneticPr fontId="25"/>
  </si>
  <si>
    <t>0.590-0.832</t>
    <phoneticPr fontId="2"/>
  </si>
  <si>
    <t>基準値</t>
    <rPh sb="0" eb="2">
      <t>キジュン</t>
    </rPh>
    <rPh sb="2" eb="3">
      <t>チ</t>
    </rPh>
    <phoneticPr fontId="2"/>
  </si>
  <si>
    <r>
      <t>トリップコイル・kt/lt一括絶縁抵抗＝</t>
    </r>
    <r>
      <rPr>
        <sz val="11"/>
        <color rgb="FF0000FF"/>
        <rFont val="ＭＳ Ｐ明朝"/>
        <family val="1"/>
        <charset val="128"/>
      </rPr>
      <t>2,000MΩ</t>
    </r>
    <r>
      <rPr>
        <sz val="11"/>
        <rFont val="ＭＳ Ｐ明朝"/>
        <family val="1"/>
        <charset val="128"/>
      </rPr>
      <t>（DC500V印可）</t>
    </r>
    <rPh sb="13" eb="15">
      <t>イッカツ</t>
    </rPh>
    <rPh sb="15" eb="17">
      <t>ゼツエン</t>
    </rPh>
    <rPh sb="17" eb="19">
      <t>テイコウ</t>
    </rPh>
    <rPh sb="34" eb="36">
      <t>インカ</t>
    </rPh>
    <phoneticPr fontId="2"/>
  </si>
  <si>
    <t xml:space="preserve"> </t>
    <phoneticPr fontId="2"/>
  </si>
  <si>
    <r>
      <rPr>
        <sz val="12"/>
        <color rgb="FF0000FF"/>
        <rFont val="ＭＳ 明朝"/>
        <family val="1"/>
        <charset val="128"/>
      </rPr>
      <t>2,000</t>
    </r>
    <r>
      <rPr>
        <sz val="12"/>
        <rFont val="ＭＳ 明朝"/>
        <family val="1"/>
        <charset val="128"/>
      </rPr>
      <t>〔MΩ〕</t>
    </r>
    <phoneticPr fontId="2"/>
  </si>
  <si>
    <t>不良</t>
    <rPh sb="0" eb="2">
      <t>フリョウ</t>
    </rPh>
    <phoneticPr fontId="2"/>
  </si>
  <si>
    <t xml:space="preserve"> </t>
    <phoneticPr fontId="2"/>
  </si>
  <si>
    <r>
      <rPr>
        <sz val="9"/>
        <rFont val="ＭＳ Ｐ明朝"/>
        <family val="1"/>
        <charset val="128"/>
      </rPr>
      <t>動作電圧の70%</t>
    </r>
    <r>
      <rPr>
        <sz val="11"/>
        <rFont val="ＭＳ Ｐ明朝"/>
        <family val="1"/>
        <charset val="128"/>
      </rPr>
      <t>→</t>
    </r>
    <r>
      <rPr>
        <b/>
        <sz val="11"/>
        <rFont val="ＭＳ Ｐ明朝"/>
        <family val="1"/>
        <charset val="128"/>
      </rPr>
      <t>56V</t>
    </r>
    <rPh sb="0" eb="2">
      <t>ドウサ</t>
    </rPh>
    <rPh sb="2" eb="4">
      <t>デンアツ</t>
    </rPh>
    <phoneticPr fontId="2"/>
  </si>
  <si>
    <t>写 真</t>
    <rPh sb="0" eb="1">
      <t>シャ</t>
    </rPh>
    <rPh sb="2" eb="3">
      <t>マコト</t>
    </rPh>
    <phoneticPr fontId="2"/>
  </si>
  <si>
    <t xml:space="preserve"> </t>
    <phoneticPr fontId="49"/>
  </si>
  <si>
    <t>パネル割れ</t>
    <rPh sb="3" eb="4">
      <t>ワ</t>
    </rPh>
    <phoneticPr fontId="49"/>
  </si>
  <si>
    <t>朝日ガス鳥取県倉吉第1発電所　　      ㊞　　　　　　　　　　　　　　　　　本 田　 修   　</t>
    <phoneticPr fontId="2"/>
  </si>
  <si>
    <t>100〔ＧΩ〕</t>
    <phoneticPr fontId="2"/>
  </si>
  <si>
    <t>清掃前100〔GΩ〕</t>
    <rPh sb="0" eb="2">
      <t>セイソウ</t>
    </rPh>
    <rPh sb="2" eb="3">
      <t>マエ</t>
    </rPh>
    <phoneticPr fontId="2"/>
  </si>
  <si>
    <t>100〔GΩ〕</t>
    <phoneticPr fontId="2"/>
  </si>
  <si>
    <t>A-1接続箱</t>
    <rPh sb="3" eb="6">
      <t>セツゾクバコ</t>
    </rPh>
    <phoneticPr fontId="2"/>
  </si>
  <si>
    <t>A-2接続箱</t>
    <rPh sb="3" eb="6">
      <t>セツゾクバコ</t>
    </rPh>
    <phoneticPr fontId="2"/>
  </si>
  <si>
    <t>A-3接続箱</t>
    <rPh sb="3" eb="6">
      <t>セツゾクバコ</t>
    </rPh>
    <phoneticPr fontId="2"/>
  </si>
  <si>
    <t>A-4接続箱</t>
    <rPh sb="3" eb="6">
      <t>セツゾクバコ</t>
    </rPh>
    <phoneticPr fontId="2"/>
  </si>
  <si>
    <t>A-5接続箱</t>
    <rPh sb="3" eb="6">
      <t>セツゾクバコ</t>
    </rPh>
    <phoneticPr fontId="2"/>
  </si>
  <si>
    <t>A-6接続箱</t>
    <rPh sb="3" eb="6">
      <t>セツゾクバコ</t>
    </rPh>
    <phoneticPr fontId="2"/>
  </si>
  <si>
    <t>B-1接続箱</t>
    <rPh sb="3" eb="6">
      <t>セツゾクバコ</t>
    </rPh>
    <phoneticPr fontId="2"/>
  </si>
  <si>
    <t>B-2接続箱</t>
    <rPh sb="3" eb="6">
      <t>セツゾクバコ</t>
    </rPh>
    <phoneticPr fontId="2"/>
  </si>
  <si>
    <t>B-3接続箱</t>
    <rPh sb="3" eb="6">
      <t>セツゾクバコ</t>
    </rPh>
    <phoneticPr fontId="2"/>
  </si>
  <si>
    <t>B-4接続箱</t>
    <rPh sb="3" eb="6">
      <t>セツゾクバコ</t>
    </rPh>
    <phoneticPr fontId="2"/>
  </si>
  <si>
    <t>B-5接続箱</t>
    <rPh sb="3" eb="6">
      <t>セツゾクバコ</t>
    </rPh>
    <phoneticPr fontId="2"/>
  </si>
  <si>
    <t>C-1接続箱</t>
    <rPh sb="3" eb="6">
      <t>セツゾクバコ</t>
    </rPh>
    <phoneticPr fontId="2"/>
  </si>
  <si>
    <t>C-2接続箱</t>
    <rPh sb="3" eb="6">
      <t>セツゾクバコ</t>
    </rPh>
    <phoneticPr fontId="2"/>
  </si>
  <si>
    <t>C-3接続箱</t>
    <rPh sb="3" eb="6">
      <t>セツゾクバコ</t>
    </rPh>
    <phoneticPr fontId="2"/>
  </si>
  <si>
    <t>C-4接続箱</t>
    <rPh sb="3" eb="6">
      <t>セツゾクバコ</t>
    </rPh>
    <phoneticPr fontId="2"/>
  </si>
  <si>
    <t>C-5接続箱</t>
    <rPh sb="3" eb="6">
      <t>セツゾクバコ</t>
    </rPh>
    <phoneticPr fontId="2"/>
  </si>
  <si>
    <t>C-6接続箱</t>
    <rPh sb="3" eb="6">
      <t>セツゾクバコ</t>
    </rPh>
    <phoneticPr fontId="2"/>
  </si>
  <si>
    <t>C-7接続箱</t>
    <rPh sb="3" eb="6">
      <t>セツゾクバコ</t>
    </rPh>
    <phoneticPr fontId="2"/>
  </si>
  <si>
    <t>C-8接続箱</t>
    <rPh sb="3" eb="6">
      <t>セツゾクバコ</t>
    </rPh>
    <phoneticPr fontId="2"/>
  </si>
  <si>
    <t>D-1接続箱</t>
    <rPh sb="3" eb="6">
      <t>セツゾクバコ</t>
    </rPh>
    <phoneticPr fontId="2"/>
  </si>
  <si>
    <t>D-2接続箱</t>
    <rPh sb="3" eb="6">
      <t>セツゾクバコ</t>
    </rPh>
    <phoneticPr fontId="2"/>
  </si>
  <si>
    <t>D-3接続箱</t>
    <rPh sb="3" eb="6">
      <t>セツゾクバコ</t>
    </rPh>
    <phoneticPr fontId="2"/>
  </si>
  <si>
    <t>電気工作物巡視点検月報</t>
    <rPh sb="0" eb="2">
      <t>デンキ</t>
    </rPh>
    <rPh sb="2" eb="5">
      <t>コウサクブツ</t>
    </rPh>
    <rPh sb="5" eb="7">
      <t>ジュンシ</t>
    </rPh>
    <rPh sb="7" eb="9">
      <t>テンケン</t>
    </rPh>
    <rPh sb="9" eb="11">
      <t>ゲッポウ</t>
    </rPh>
    <phoneticPr fontId="2"/>
  </si>
  <si>
    <t>(売電専用太陽電池発電所）</t>
    <rPh sb="1" eb="2">
      <t>バイ</t>
    </rPh>
    <phoneticPr fontId="2"/>
  </si>
  <si>
    <t>この書類の保存期間は３年です。大切に保管して下さい。　</t>
    <rPh sb="2" eb="4">
      <t>ショルイ</t>
    </rPh>
    <rPh sb="5" eb="7">
      <t>ホゾン</t>
    </rPh>
    <rPh sb="7" eb="9">
      <t>キカン</t>
    </rPh>
    <rPh sb="11" eb="12">
      <t>ネン</t>
    </rPh>
    <rPh sb="15" eb="17">
      <t>タイセツ</t>
    </rPh>
    <rPh sb="18" eb="20">
      <t>ホカン</t>
    </rPh>
    <rPh sb="22" eb="23">
      <t>クダ</t>
    </rPh>
    <phoneticPr fontId="2"/>
  </si>
  <si>
    <t xml:space="preserve"> </t>
    <phoneticPr fontId="56"/>
  </si>
  <si>
    <t>（発電所名）</t>
    <rPh sb="1" eb="3">
      <t>ハツデン</t>
    </rPh>
    <rPh sb="3" eb="4">
      <t>ショ</t>
    </rPh>
    <rPh sb="4" eb="5">
      <t>メイ</t>
    </rPh>
    <phoneticPr fontId="2"/>
  </si>
  <si>
    <t>㊞</t>
  </si>
  <si>
    <t>電気管理技術者　　 第　鳥-56　号</t>
    <rPh sb="0" eb="2">
      <t>デンキ</t>
    </rPh>
    <rPh sb="2" eb="4">
      <t>カンリ</t>
    </rPh>
    <rPh sb="4" eb="6">
      <t>ギジュツ</t>
    </rPh>
    <rPh sb="6" eb="7">
      <t>シャ</t>
    </rPh>
    <rPh sb="10" eb="11">
      <t>ダイ</t>
    </rPh>
    <rPh sb="12" eb="13">
      <t>トリ</t>
    </rPh>
    <rPh sb="17" eb="18">
      <t>ゴウ</t>
    </rPh>
    <phoneticPr fontId="2"/>
  </si>
  <si>
    <t>朝日ガス鳥取県倉吉第1発電所</t>
    <phoneticPr fontId="2"/>
  </si>
  <si>
    <t>様</t>
    <rPh sb="0" eb="1">
      <t>サマ</t>
    </rPh>
    <phoneticPr fontId="2"/>
  </si>
  <si>
    <t>　　本　田　　修　　　</t>
    <rPh sb="7" eb="8">
      <t>オサム</t>
    </rPh>
    <phoneticPr fontId="2"/>
  </si>
  <si>
    <t>（代行者）</t>
    <rPh sb="1" eb="3">
      <t>ダイコウ</t>
    </rPh>
    <rPh sb="3" eb="4">
      <t>シャ</t>
    </rPh>
    <phoneticPr fontId="2"/>
  </si>
  <si>
    <t>時刻</t>
    <rPh sb="0" eb="2">
      <t>ジコク</t>
    </rPh>
    <phoneticPr fontId="2"/>
  </si>
  <si>
    <t>天候</t>
    <rPh sb="0" eb="2">
      <t>テンコウ</t>
    </rPh>
    <phoneticPr fontId="2"/>
  </si>
  <si>
    <t>気温</t>
    <rPh sb="0" eb="2">
      <t>キオン</t>
    </rPh>
    <phoneticPr fontId="2"/>
  </si>
  <si>
    <t>高　　　圧　　　盤</t>
    <rPh sb="8" eb="9">
      <t>バン</t>
    </rPh>
    <phoneticPr fontId="2"/>
  </si>
  <si>
    <t>電力量計（乗率:売電100　買電1200）</t>
    <rPh sb="0" eb="2">
      <t>デンリョク</t>
    </rPh>
    <rPh sb="2" eb="3">
      <t>リョウ</t>
    </rPh>
    <rPh sb="3" eb="4">
      <t>ハカ</t>
    </rPh>
    <rPh sb="8" eb="10">
      <t>バイデン</t>
    </rPh>
    <rPh sb="14" eb="15">
      <t>カ</t>
    </rPh>
    <phoneticPr fontId="2"/>
  </si>
  <si>
    <t>電圧（kV）</t>
    <rPh sb="0" eb="2">
      <t>デンアツ</t>
    </rPh>
    <phoneticPr fontId="2"/>
  </si>
  <si>
    <t>電流（Ａ）</t>
    <rPh sb="0" eb="2">
      <t>デンリュウ</t>
    </rPh>
    <phoneticPr fontId="2"/>
  </si>
  <si>
    <t>電力</t>
    <rPh sb="0" eb="2">
      <t>デンリョク</t>
    </rPh>
    <phoneticPr fontId="2"/>
  </si>
  <si>
    <t>力率</t>
    <rPh sb="0" eb="1">
      <t>リキ</t>
    </rPh>
    <rPh sb="1" eb="2">
      <t>リツ</t>
    </rPh>
    <phoneticPr fontId="2"/>
  </si>
  <si>
    <t>計量日</t>
    <rPh sb="0" eb="2">
      <t>ケイリョウ</t>
    </rPh>
    <rPh sb="2" eb="3">
      <t>ビ</t>
    </rPh>
    <phoneticPr fontId="2"/>
  </si>
  <si>
    <t>電力量（kWh）</t>
    <rPh sb="0" eb="2">
      <t>デンリョク</t>
    </rPh>
    <rPh sb="2" eb="3">
      <t>リョウ</t>
    </rPh>
    <phoneticPr fontId="2"/>
  </si>
  <si>
    <t>晴れ</t>
    <rPh sb="0" eb="1">
      <t>ハ</t>
    </rPh>
    <phoneticPr fontId="2"/>
  </si>
  <si>
    <t>RS</t>
  </si>
  <si>
    <t>ST</t>
  </si>
  <si>
    <t>TR</t>
  </si>
  <si>
    <t>R</t>
  </si>
  <si>
    <t>S</t>
  </si>
  <si>
    <t>T</t>
  </si>
  <si>
    <t>(kＷ)</t>
    <phoneticPr fontId="2"/>
  </si>
  <si>
    <t>(％)</t>
    <phoneticPr fontId="2"/>
  </si>
  <si>
    <t>売電</t>
    <rPh sb="0" eb="1">
      <t>ウ</t>
    </rPh>
    <phoneticPr fontId="2"/>
  </si>
  <si>
    <t>-</t>
    <phoneticPr fontId="56"/>
  </si>
  <si>
    <t>買電</t>
    <rPh sb="0" eb="1">
      <t>カ</t>
    </rPh>
    <phoneticPr fontId="2"/>
  </si>
  <si>
    <t>日　射　量</t>
    <rPh sb="4" eb="5">
      <t>リョウ</t>
    </rPh>
    <phoneticPr fontId="2"/>
  </si>
  <si>
    <t>kW/㎡</t>
    <phoneticPr fontId="2"/>
  </si>
  <si>
    <t>最大出力</t>
    <rPh sb="0" eb="2">
      <t>サイダイ</t>
    </rPh>
    <phoneticPr fontId="2"/>
  </si>
  <si>
    <t>売電電力量</t>
    <phoneticPr fontId="2"/>
  </si>
  <si>
    <t>売電額</t>
    <rPh sb="2" eb="3">
      <t>ガク</t>
    </rPh>
    <phoneticPr fontId="2"/>
  </si>
  <si>
    <t>日　平　均</t>
    <phoneticPr fontId="2"/>
  </si>
  <si>
    <t>単価</t>
    <rPh sb="0" eb="2">
      <t>タンカ</t>
    </rPh>
    <phoneticPr fontId="2"/>
  </si>
  <si>
    <t>定格出力</t>
    <rPh sb="0" eb="2">
      <t>テイカク</t>
    </rPh>
    <rPh sb="2" eb="4">
      <t>シュツリョク</t>
    </rPh>
    <phoneticPr fontId="2"/>
  </si>
  <si>
    <t>1000kW</t>
    <phoneticPr fontId="2"/>
  </si>
  <si>
    <t>kW</t>
    <phoneticPr fontId="2"/>
  </si>
  <si>
    <t>kWh</t>
    <phoneticPr fontId="2"/>
  </si>
  <si>
    <t>円</t>
    <phoneticPr fontId="2"/>
  </si>
  <si>
    <t>kWh</t>
  </si>
  <si>
    <t>円</t>
    <rPh sb="0" eb="1">
      <t>エン</t>
    </rPh>
    <phoneticPr fontId="2"/>
  </si>
  <si>
    <t>円/kWh</t>
    <rPh sb="0" eb="1">
      <t>エン</t>
    </rPh>
    <phoneticPr fontId="2"/>
  </si>
  <si>
    <t>測定箇所</t>
    <rPh sb="0" eb="2">
      <t>ソクテイ</t>
    </rPh>
    <rPh sb="2" eb="4">
      <t>カショ</t>
    </rPh>
    <phoneticPr fontId="2"/>
  </si>
  <si>
    <t>電圧(V)</t>
    <rPh sb="0" eb="2">
      <t>デンアツ</t>
    </rPh>
    <phoneticPr fontId="2"/>
  </si>
  <si>
    <t>電流(A)</t>
    <rPh sb="0" eb="2">
      <t>デンリュウ</t>
    </rPh>
    <phoneticPr fontId="2"/>
  </si>
  <si>
    <t>電力(kW)</t>
    <rPh sb="0" eb="2">
      <t>デンリョク</t>
    </rPh>
    <phoneticPr fontId="2"/>
  </si>
  <si>
    <t>温度</t>
    <rPh sb="0" eb="2">
      <t>オンド</t>
    </rPh>
    <phoneticPr fontId="2"/>
  </si>
  <si>
    <t>Ig</t>
    <phoneticPr fontId="2"/>
  </si>
  <si>
    <t>直流</t>
    <rPh sb="0" eb="2">
      <t>チョクリュウ</t>
    </rPh>
    <phoneticPr fontId="2"/>
  </si>
  <si>
    <t>交流</t>
    <rPh sb="0" eb="2">
      <t>コウリュウ</t>
    </rPh>
    <phoneticPr fontId="2"/>
  </si>
  <si>
    <t>(℃)以下</t>
    <rPh sb="3" eb="5">
      <t>イカ</t>
    </rPh>
    <phoneticPr fontId="2"/>
  </si>
  <si>
    <t>(mA)</t>
    <phoneticPr fontId="2"/>
  </si>
  <si>
    <t>高圧受送電盤</t>
    <rPh sb="0" eb="2">
      <t>コウアツ</t>
    </rPh>
    <rPh sb="2" eb="3">
      <t>ジュ</t>
    </rPh>
    <rPh sb="3" eb="5">
      <t>ソウデン</t>
    </rPh>
    <rPh sb="5" eb="6">
      <t>バン</t>
    </rPh>
    <phoneticPr fontId="2"/>
  </si>
  <si>
    <t>上記『高圧盤』欄に記載</t>
    <rPh sb="0" eb="2">
      <t>ジョウキ</t>
    </rPh>
    <rPh sb="3" eb="5">
      <t>コウアツ</t>
    </rPh>
    <rPh sb="5" eb="6">
      <t>バン</t>
    </rPh>
    <rPh sb="7" eb="8">
      <t>ラン</t>
    </rPh>
    <rPh sb="9" eb="11">
      <t>キサイ</t>
    </rPh>
    <phoneticPr fontId="2"/>
  </si>
  <si>
    <t>連係用変圧器１</t>
    <rPh sb="0" eb="2">
      <t>レンケイ</t>
    </rPh>
    <rPh sb="2" eb="3">
      <t>ヨウ</t>
    </rPh>
    <rPh sb="3" eb="6">
      <t>ヘンアツキ</t>
    </rPh>
    <phoneticPr fontId="2"/>
  </si>
  <si>
    <t>非接地</t>
    <rPh sb="0" eb="1">
      <t>ヒ</t>
    </rPh>
    <rPh sb="1" eb="3">
      <t>セッチ</t>
    </rPh>
    <phoneticPr fontId="2"/>
  </si>
  <si>
    <t>連係用変圧器２</t>
    <rPh sb="0" eb="2">
      <t>レンケイ</t>
    </rPh>
    <rPh sb="2" eb="3">
      <t>ヨウ</t>
    </rPh>
    <rPh sb="3" eb="6">
      <t>ヘンアツキ</t>
    </rPh>
    <phoneticPr fontId="2"/>
  </si>
  <si>
    <t>所内動力変圧器</t>
    <rPh sb="0" eb="1">
      <t>ショ</t>
    </rPh>
    <rPh sb="1" eb="2">
      <t>ナイ</t>
    </rPh>
    <rPh sb="2" eb="4">
      <t>ドウリョク</t>
    </rPh>
    <rPh sb="4" eb="7">
      <t>ヘンアツキ</t>
    </rPh>
    <phoneticPr fontId="2"/>
  </si>
  <si>
    <t>30↓</t>
    <phoneticPr fontId="2"/>
  </si>
  <si>
    <t>所内電灯変圧器</t>
    <rPh sb="0" eb="1">
      <t>ショ</t>
    </rPh>
    <rPh sb="1" eb="2">
      <t>ナイ</t>
    </rPh>
    <rPh sb="2" eb="4">
      <t>デントウ</t>
    </rPh>
    <rPh sb="4" eb="7">
      <t>ヘンアツキ</t>
    </rPh>
    <phoneticPr fontId="2"/>
  </si>
  <si>
    <t>10↓</t>
    <phoneticPr fontId="2"/>
  </si>
  <si>
    <t>ＰＣＳ1</t>
    <phoneticPr fontId="2"/>
  </si>
  <si>
    <t>ＰＣＳ2</t>
  </si>
  <si>
    <t>点　　　検　　　箇　　　所</t>
    <rPh sb="0" eb="1">
      <t>テン</t>
    </rPh>
    <rPh sb="4" eb="5">
      <t>ケン</t>
    </rPh>
    <rPh sb="8" eb="9">
      <t>カ</t>
    </rPh>
    <rPh sb="12" eb="13">
      <t>ショ</t>
    </rPh>
    <phoneticPr fontId="2"/>
  </si>
  <si>
    <t>受　送　電　設　備</t>
    <rPh sb="2" eb="3">
      <t>オク</t>
    </rPh>
    <phoneticPr fontId="2"/>
  </si>
  <si>
    <t>区分開閉器</t>
    <rPh sb="0" eb="2">
      <t>クブン</t>
    </rPh>
    <rPh sb="2" eb="5">
      <t>カイヘイキ</t>
    </rPh>
    <phoneticPr fontId="2"/>
  </si>
  <si>
    <t>引込ケーブル</t>
    <rPh sb="0" eb="2">
      <t>ヒキコミ</t>
    </rPh>
    <phoneticPr fontId="2"/>
  </si>
  <si>
    <t>電柱</t>
    <rPh sb="0" eb="2">
      <t>デンチュウ</t>
    </rPh>
    <phoneticPr fontId="2"/>
  </si>
  <si>
    <t>腕金</t>
    <rPh sb="0" eb="2">
      <t>ウデガネ</t>
    </rPh>
    <phoneticPr fontId="2"/>
  </si>
  <si>
    <t>がいし</t>
  </si>
  <si>
    <t>支線等</t>
    <rPh sb="0" eb="3">
      <t>シセンナド</t>
    </rPh>
    <phoneticPr fontId="2"/>
  </si>
  <si>
    <t>断路器</t>
    <rPh sb="0" eb="3">
      <t>ダンロキ</t>
    </rPh>
    <phoneticPr fontId="2"/>
  </si>
  <si>
    <t>取引用変成器</t>
    <rPh sb="0" eb="3">
      <t>トリヒキヨウ</t>
    </rPh>
    <rPh sb="3" eb="6">
      <t>ヘンセイキ</t>
    </rPh>
    <phoneticPr fontId="2"/>
  </si>
  <si>
    <t>遮断機</t>
    <rPh sb="0" eb="3">
      <t>シャダンキ</t>
    </rPh>
    <phoneticPr fontId="2"/>
  </si>
  <si>
    <t>零相電圧検出器</t>
    <rPh sb="0" eb="2">
      <t>ゼロソウ</t>
    </rPh>
    <rPh sb="2" eb="4">
      <t>デンアツ</t>
    </rPh>
    <rPh sb="4" eb="7">
      <t>ケンシュツキ</t>
    </rPh>
    <phoneticPr fontId="2"/>
  </si>
  <si>
    <t>負荷開閉器</t>
    <rPh sb="0" eb="2">
      <t>フカ</t>
    </rPh>
    <rPh sb="2" eb="5">
      <t>カイヘイキ</t>
    </rPh>
    <phoneticPr fontId="2"/>
  </si>
  <si>
    <t>計器用変圧器</t>
    <rPh sb="0" eb="3">
      <t>ケイキヨウ</t>
    </rPh>
    <rPh sb="3" eb="6">
      <t>ヘンアツキ</t>
    </rPh>
    <phoneticPr fontId="2"/>
  </si>
  <si>
    <t>計器用変流器</t>
    <rPh sb="0" eb="3">
      <t>ケイキヨウ</t>
    </rPh>
    <rPh sb="3" eb="6">
      <t>ヘンリュウキ</t>
    </rPh>
    <phoneticPr fontId="2"/>
  </si>
  <si>
    <t>変圧器</t>
    <rPh sb="0" eb="3">
      <t>ヘンアツキ</t>
    </rPh>
    <phoneticPr fontId="2"/>
  </si>
  <si>
    <t>受電盤</t>
    <rPh sb="0" eb="3">
      <t>ジュデンバン</t>
    </rPh>
    <phoneticPr fontId="2"/>
  </si>
  <si>
    <t>避雷器</t>
    <rPh sb="0" eb="3">
      <t>ヒライキ</t>
    </rPh>
    <phoneticPr fontId="2"/>
  </si>
  <si>
    <t>継電器</t>
    <rPh sb="0" eb="3">
      <t>ケイデンキ</t>
    </rPh>
    <phoneticPr fontId="2"/>
  </si>
  <si>
    <t>接 地 線</t>
    <rPh sb="0" eb="1">
      <t>セッ</t>
    </rPh>
    <rPh sb="2" eb="3">
      <t>チ</t>
    </rPh>
    <rPh sb="4" eb="5">
      <t>セン</t>
    </rPh>
    <phoneticPr fontId="2"/>
  </si>
  <si>
    <t>S O G</t>
  </si>
  <si>
    <t>異音・異臭</t>
    <rPh sb="0" eb="2">
      <t>イオン</t>
    </rPh>
    <rPh sb="3" eb="5">
      <t>イシュウ</t>
    </rPh>
    <phoneticPr fontId="2"/>
  </si>
  <si>
    <t>換気扇</t>
    <rPh sb="0" eb="3">
      <t>カンキセン</t>
    </rPh>
    <phoneticPr fontId="2"/>
  </si>
  <si>
    <t>小動物・雨水浸入</t>
    <rPh sb="0" eb="3">
      <t>ショウドウブツ</t>
    </rPh>
    <rPh sb="4" eb="6">
      <t>ウスイ</t>
    </rPh>
    <rPh sb="6" eb="8">
      <t>シンニュウ</t>
    </rPh>
    <phoneticPr fontId="2"/>
  </si>
  <si>
    <t>筐体</t>
    <rPh sb="0" eb="2">
      <t>キョウタイ</t>
    </rPh>
    <phoneticPr fontId="2"/>
  </si>
  <si>
    <t>汚損</t>
    <rPh sb="0" eb="2">
      <t>オソン</t>
    </rPh>
    <phoneticPr fontId="2"/>
  </si>
  <si>
    <t>固定状況</t>
    <rPh sb="0" eb="2">
      <t>コテイ</t>
    </rPh>
    <rPh sb="2" eb="4">
      <t>ジョウキョウ</t>
    </rPh>
    <phoneticPr fontId="2"/>
  </si>
  <si>
    <t>A</t>
    <phoneticPr fontId="2"/>
  </si>
  <si>
    <t xml:space="preserve"> </t>
  </si>
  <si>
    <t>太  陽  光　電　設　備</t>
    <rPh sb="0" eb="1">
      <t>フトシ</t>
    </rPh>
    <rPh sb="3" eb="4">
      <t>ヨウ</t>
    </rPh>
    <rPh sb="6" eb="7">
      <t>ヒカリ</t>
    </rPh>
    <phoneticPr fontId="2"/>
  </si>
  <si>
    <t>付属設備他</t>
  </si>
  <si>
    <t>その他</t>
    <rPh sb="2" eb="3">
      <t>タ</t>
    </rPh>
    <phoneticPr fontId="2"/>
  </si>
  <si>
    <t>施錠</t>
    <rPh sb="0" eb="2">
      <t>セジョウ</t>
    </rPh>
    <phoneticPr fontId="2"/>
  </si>
  <si>
    <t>太陽電池アレイ</t>
    <rPh sb="0" eb="2">
      <t>タイヨウ</t>
    </rPh>
    <rPh sb="2" eb="4">
      <t>デンチ</t>
    </rPh>
    <phoneticPr fontId="2"/>
  </si>
  <si>
    <t>集電箱・接続箱</t>
    <rPh sb="0" eb="2">
      <t>シュウデン</t>
    </rPh>
    <rPh sb="2" eb="3">
      <t>バコ</t>
    </rPh>
    <rPh sb="4" eb="6">
      <t>セツゾク</t>
    </rPh>
    <rPh sb="6" eb="7">
      <t>バコ</t>
    </rPh>
    <phoneticPr fontId="2"/>
  </si>
  <si>
    <t>表示モニター</t>
  </si>
  <si>
    <t>制御電源</t>
  </si>
  <si>
    <t>接地線</t>
  </si>
  <si>
    <t>機器・接続部温度</t>
  </si>
  <si>
    <t>異音・異臭</t>
  </si>
  <si>
    <t>換気設備</t>
    <rPh sb="2" eb="4">
      <t>セツビ</t>
    </rPh>
    <phoneticPr fontId="2"/>
  </si>
  <si>
    <t>空調機器</t>
    <rPh sb="0" eb="2">
      <t>クウチョウ</t>
    </rPh>
    <phoneticPr fontId="2"/>
  </si>
  <si>
    <t>気象観測装置</t>
    <rPh sb="0" eb="2">
      <t>キショウ</t>
    </rPh>
    <rPh sb="2" eb="4">
      <t>カンソク</t>
    </rPh>
    <rPh sb="4" eb="6">
      <t>ソウチ</t>
    </rPh>
    <phoneticPr fontId="2"/>
  </si>
  <si>
    <t>配線用遮断器</t>
    <rPh sb="0" eb="3">
      <t>ハイセンヨウ</t>
    </rPh>
    <rPh sb="3" eb="6">
      <t>シャダンキ</t>
    </rPh>
    <phoneticPr fontId="2"/>
  </si>
  <si>
    <t>無停電電源装置</t>
    <rPh sb="0" eb="3">
      <t>ムテイデン</t>
    </rPh>
    <rPh sb="3" eb="5">
      <t>デンゲン</t>
    </rPh>
    <rPh sb="5" eb="7">
      <t>ソウチ</t>
    </rPh>
    <phoneticPr fontId="2"/>
  </si>
  <si>
    <t>分電盤</t>
    <rPh sb="0" eb="3">
      <t>ブンデンバン</t>
    </rPh>
    <phoneticPr fontId="2"/>
  </si>
  <si>
    <t>フェンス</t>
  </si>
  <si>
    <t>雑草状況</t>
    <rPh sb="0" eb="2">
      <t>ザッソウ</t>
    </rPh>
    <rPh sb="2" eb="4">
      <t>ジョウキョウ</t>
    </rPh>
    <phoneticPr fontId="2"/>
  </si>
  <si>
    <t>危険標識等</t>
    <rPh sb="0" eb="4">
      <t>キケンヒョウシキ</t>
    </rPh>
    <rPh sb="4" eb="5">
      <t>ナド</t>
    </rPh>
    <phoneticPr fontId="2"/>
  </si>
  <si>
    <t>-</t>
  </si>
  <si>
    <t>A:異常を認めず,       B:以前からの指摘事項,   ○囲み数字：指摘事項あり</t>
    <rPh sb="2" eb="4">
      <t>イジョウ</t>
    </rPh>
    <rPh sb="5" eb="6">
      <t>ミト</t>
    </rPh>
    <rPh sb="18" eb="20">
      <t>イゼン</t>
    </rPh>
    <rPh sb="23" eb="25">
      <t>シテキ</t>
    </rPh>
    <rPh sb="25" eb="27">
      <t>ジコウ</t>
    </rPh>
    <rPh sb="32" eb="33">
      <t>カコ</t>
    </rPh>
    <rPh sb="34" eb="36">
      <t>スウジ</t>
    </rPh>
    <rPh sb="37" eb="39">
      <t>シテキ</t>
    </rPh>
    <rPh sb="39" eb="41">
      <t>ジコウ</t>
    </rPh>
    <phoneticPr fontId="2"/>
  </si>
  <si>
    <t>・構内第1号柱から受送電盤並びにPCS盤変圧器通常点検の結果 ～ 特に異常は認めません。</t>
    <phoneticPr fontId="2"/>
  </si>
  <si>
    <t>以上</t>
    <rPh sb="0" eb="2">
      <t>イジョウ</t>
    </rPh>
    <phoneticPr fontId="2"/>
  </si>
  <si>
    <t>本田電気管理事務所</t>
    <phoneticPr fontId="56"/>
  </si>
  <si>
    <t>太陽電池容量：1287.00kW       タップ6,600V　　力率固定  - ％　　　　　</t>
    <rPh sb="0" eb="2">
      <t>タイヨウ</t>
    </rPh>
    <rPh sb="34" eb="36">
      <t>リキリツ</t>
    </rPh>
    <rPh sb="36" eb="38">
      <t>コテイ</t>
    </rPh>
    <phoneticPr fontId="2"/>
  </si>
  <si>
    <t>℡（0859）68-3375</t>
    <phoneticPr fontId="2"/>
  </si>
  <si>
    <t>一般社団法人　中国電気管理技術者協会</t>
    <rPh sb="0" eb="2">
      <t>イッパン</t>
    </rPh>
    <rPh sb="2" eb="4">
      <t>シャダン</t>
    </rPh>
    <rPh sb="4" eb="6">
      <t>ホウジン</t>
    </rPh>
    <rPh sb="7" eb="18">
      <t>チュウゴクデンキカンリギジュツシャキョウカイ</t>
    </rPh>
    <phoneticPr fontId="2"/>
  </si>
  <si>
    <t>Ｃ－６接続箱前のアレイ</t>
    <rPh sb="3" eb="6">
      <t>セツゾクバコ</t>
    </rPh>
    <rPh sb="6" eb="7">
      <t>マエ</t>
    </rPh>
    <phoneticPr fontId="49"/>
  </si>
  <si>
    <t>②,③</t>
    <phoneticPr fontId="2"/>
  </si>
  <si>
    <t>③絶縁抵抗値が管理値を下回る回路が複数あります。感電や火災の危険があるため、</t>
    <rPh sb="1" eb="6">
      <t>ゼツエンテイコウチ</t>
    </rPh>
    <rPh sb="7" eb="10">
      <t>カンリチ</t>
    </rPh>
    <rPh sb="11" eb="13">
      <t>シタマワ</t>
    </rPh>
    <rPh sb="14" eb="16">
      <t>カイロ</t>
    </rPh>
    <rPh sb="17" eb="19">
      <t>フクスウ</t>
    </rPh>
    <rPh sb="24" eb="26">
      <t>カンデン</t>
    </rPh>
    <rPh sb="27" eb="29">
      <t>カサイ</t>
    </rPh>
    <rPh sb="30" eb="32">
      <t>キケン</t>
    </rPh>
    <phoneticPr fontId="2"/>
  </si>
  <si>
    <t>　至急改修してください。</t>
    <phoneticPr fontId="2"/>
  </si>
  <si>
    <t>①保安規程では、パワーコンディショナー内の保護継電器の試験は1年に1回となって</t>
    <phoneticPr fontId="2"/>
  </si>
  <si>
    <t>　 います。なお、当該試験につきましては専門業者へ依頼して下さい。</t>
    <phoneticPr fontId="2"/>
  </si>
  <si>
    <t>ECT-1000</t>
    <phoneticPr fontId="2"/>
  </si>
  <si>
    <t>17E020090</t>
    <phoneticPr fontId="2"/>
  </si>
  <si>
    <r>
      <t>実施日:2025</t>
    </r>
    <r>
      <rPr>
        <sz val="11"/>
        <color rgb="FF0000FF"/>
        <rFont val="ＭＳ Ｐゴシック"/>
        <family val="3"/>
        <charset val="128"/>
      </rPr>
      <t>年  11月  27日（木）天候：晴れ 気温：14℃ 湿度62％</t>
    </r>
    <rPh sb="0" eb="3">
      <t>ジッシビ</t>
    </rPh>
    <rPh sb="20" eb="21">
      <t>モク</t>
    </rPh>
    <rPh sb="25" eb="26">
      <t>ハ</t>
    </rPh>
    <phoneticPr fontId="2"/>
  </si>
  <si>
    <t>清掃前10〔GΩ〕</t>
    <rPh sb="0" eb="2">
      <t>セイソウ</t>
    </rPh>
    <rPh sb="2" eb="3">
      <t>マエ</t>
    </rPh>
    <phoneticPr fontId="2"/>
  </si>
  <si>
    <r>
      <t>12</t>
    </r>
    <r>
      <rPr>
        <sz val="12"/>
        <rFont val="ＭＳ 明朝"/>
        <family val="1"/>
        <charset val="128"/>
      </rPr>
      <t>〔GΩ〕</t>
    </r>
    <phoneticPr fontId="2"/>
  </si>
  <si>
    <t>292〜296</t>
    <phoneticPr fontId="2"/>
  </si>
  <si>
    <t>291〜296</t>
    <phoneticPr fontId="2"/>
  </si>
  <si>
    <t>205〜209</t>
    <phoneticPr fontId="2"/>
  </si>
  <si>
    <t>104〜105</t>
    <phoneticPr fontId="2"/>
  </si>
  <si>
    <t>・太陽電池発電設備通常点検の結果  〜 以下①の指摘事項があります。</t>
    <rPh sb="1" eb="3">
      <t>タイヨウ</t>
    </rPh>
    <rPh sb="3" eb="5">
      <t>デンチ</t>
    </rPh>
    <rPh sb="5" eb="7">
      <t>ハツデン</t>
    </rPh>
    <rPh sb="7" eb="9">
      <t>セツビ</t>
    </rPh>
    <rPh sb="9" eb="11">
      <t>ツウジョウ</t>
    </rPh>
    <rPh sb="11" eb="13">
      <t>テンケン</t>
    </rPh>
    <rPh sb="14" eb="16">
      <t>ケッカ</t>
    </rPh>
    <rPh sb="20" eb="22">
      <t>イカ</t>
    </rPh>
    <rPh sb="24" eb="26">
      <t>シテキ</t>
    </rPh>
    <rPh sb="26" eb="28">
      <t>ジコウ</t>
    </rPh>
    <phoneticPr fontId="2"/>
  </si>
  <si>
    <t>①アレイの沈降並びにパネル割れが２枚あります。</t>
    <rPh sb="5" eb="7">
      <t>チンコウ</t>
    </rPh>
    <rPh sb="7" eb="8">
      <t>ナラ</t>
    </rPh>
    <rPh sb="13" eb="14">
      <t>ワ</t>
    </rPh>
    <rPh sb="17" eb="18">
      <t>マイ</t>
    </rPh>
    <phoneticPr fontId="2"/>
  </si>
  <si>
    <t>【パネル割れ】</t>
    <rPh sb="4" eb="5">
      <t>ワ</t>
    </rPh>
    <phoneticPr fontId="2"/>
  </si>
  <si>
    <t>C6接続箱前アレイ右から１５番目最下段と同２５番目下から２段目の計２枚割れ。</t>
    <rPh sb="2" eb="6">
      <t>セツゾクバコマエ</t>
    </rPh>
    <rPh sb="9" eb="10">
      <t>ミギ</t>
    </rPh>
    <rPh sb="14" eb="16">
      <t>バンメ</t>
    </rPh>
    <rPh sb="16" eb="19">
      <t>サイゲダン</t>
    </rPh>
    <rPh sb="20" eb="21">
      <t>ドウ</t>
    </rPh>
    <rPh sb="23" eb="25">
      <t>バンメ</t>
    </rPh>
    <rPh sb="25" eb="26">
      <t>シタ</t>
    </rPh>
    <rPh sb="29" eb="31">
      <t>ダンメ</t>
    </rPh>
    <rPh sb="32" eb="33">
      <t>ケイ</t>
    </rPh>
    <rPh sb="34" eb="35">
      <t>マイ</t>
    </rPh>
    <rPh sb="35" eb="36">
      <t>ワ</t>
    </rPh>
    <phoneticPr fontId="2"/>
  </si>
  <si>
    <t>　</t>
    <phoneticPr fontId="49"/>
  </si>
  <si>
    <t>アレイ沈降状況</t>
    <rPh sb="3" eb="7">
      <t>チンコウジョウキョウ</t>
    </rPh>
    <phoneticPr fontId="2"/>
  </si>
  <si>
    <t>左から１5枚目、最下段</t>
    <rPh sb="0" eb="1">
      <t>ヒダリ</t>
    </rPh>
    <rPh sb="5" eb="7">
      <t>マイメ</t>
    </rPh>
    <rPh sb="8" eb="11">
      <t>サイゲダン</t>
    </rPh>
    <phoneticPr fontId="49"/>
  </si>
  <si>
    <t>左から25枚目、下から２段目</t>
    <rPh sb="0" eb="1">
      <t>ヒダリ</t>
    </rPh>
    <rPh sb="5" eb="7">
      <t>マイメ</t>
    </rPh>
    <rPh sb="8" eb="9">
      <t>シタ</t>
    </rPh>
    <rPh sb="12" eb="14">
      <t>ダンメ</t>
    </rPh>
    <phoneticPr fontId="49"/>
  </si>
  <si>
    <t>円内はC-6接続箱</t>
    <rPh sb="0" eb="1">
      <t>エン</t>
    </rPh>
    <rPh sb="1" eb="2">
      <t>ウチ</t>
    </rPh>
    <rPh sb="6" eb="9">
      <t>セツゾクバコ</t>
    </rPh>
    <phoneticPr fontId="2"/>
  </si>
  <si>
    <t>②パネル割れ並びにアレイ沈降があります(末尾参照）。</t>
    <rPh sb="4" eb="5">
      <t>ワ</t>
    </rPh>
    <rPh sb="6" eb="7">
      <t>ナラ</t>
    </rPh>
    <rPh sb="20" eb="24">
      <t>マツビサンショウ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</si>
</sst>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_ "/>
    <numFmt numFmtId="177" formatCode="#,##0.000_ "/>
    <numFmt numFmtId="178" formatCode="0.0"/>
    <numFmt numFmtId="179" formatCode="0.00_ "/>
    <numFmt numFmtId="180" formatCode="0.000_ "/>
    <numFmt numFmtId="181" formatCode="0.0_);[Red]\(0.0\)"/>
    <numFmt numFmtId="182" formatCode="0.000_);[Red]\(0.000\)"/>
    <numFmt numFmtId="183" formatCode="yyyy&quot;年&quot;m&quot;月&quot;;@"/>
    <numFmt numFmtId="184" formatCode="0_ "/>
    <numFmt numFmtId="185" formatCode="#,##0_ "/>
    <numFmt numFmtId="186" formatCode="#,##0.0_ "/>
    <numFmt numFmtId="187" formatCode="#,##0.00_ "/>
    <numFmt numFmtId="188" formatCode="0_);[Red]\(0\)"/>
    <numFmt numFmtId="189" formatCode="[$-411]ggge&quot;年&quot;m&quot;月&quot;d&quot;日&quot;;@"/>
    <numFmt numFmtId="190" formatCode="[$-F800]dddd\,\ mmmm\ dd\,\ yyyy"/>
    <numFmt numFmtId="191" formatCode="#,###\k\W"/>
  </numFmts>
  <fonts count="67"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明朝"/>
      <family val="1"/>
      <charset val="128"/>
    </font>
    <font>
      <sz val="22"/>
      <name val="ＭＳ Ｐゴシック"/>
      <family val="3"/>
      <charset val="128"/>
    </font>
    <font>
      <sz val="10"/>
      <name val="ＭＳ 明朝"/>
      <family val="1"/>
      <charset val="128"/>
    </font>
    <font>
      <sz val="12"/>
      <name val="ＭＳ 明朝"/>
      <family val="1"/>
      <charset val="128"/>
    </font>
    <font>
      <sz val="10"/>
      <color rgb="FF000000"/>
      <name val="ＭＳ 明朝"/>
      <family val="1"/>
      <charset val="128"/>
    </font>
    <font>
      <sz val="10.5"/>
      <name val="ＭＳ 明朝"/>
      <family val="1"/>
      <charset val="128"/>
    </font>
    <font>
      <sz val="9"/>
      <color rgb="FF000000"/>
      <name val="ＭＳ 明朝"/>
      <family val="1"/>
      <charset val="128"/>
    </font>
    <font>
      <sz val="10.5"/>
      <color rgb="FF000000"/>
      <name val="ＭＳ 明朝"/>
      <family val="1"/>
      <charset val="128"/>
    </font>
    <font>
      <sz val="17"/>
      <color rgb="FF000000"/>
      <name val="ＭＳ ゴシック"/>
      <family val="3"/>
      <charset val="128"/>
    </font>
    <font>
      <sz val="10.5"/>
      <color rgb="FF000000"/>
      <name val="ＭＳ ゴシック"/>
      <family val="3"/>
      <charset val="128"/>
    </font>
    <font>
      <sz val="10.5"/>
      <name val="ＭＳ ゴシック"/>
      <family val="3"/>
      <charset val="128"/>
    </font>
    <font>
      <sz val="12"/>
      <name val="ＭＳ ゴシック"/>
      <family val="3"/>
      <charset val="128"/>
    </font>
    <font>
      <sz val="11.5"/>
      <color rgb="FF000000"/>
      <name val="ＭＳ 明朝"/>
      <family val="1"/>
      <charset val="128"/>
    </font>
    <font>
      <sz val="20"/>
      <name val="ＭＳ Ｐゴシック"/>
      <family val="3"/>
      <charset val="128"/>
    </font>
    <font>
      <b/>
      <sz val="10"/>
      <color rgb="FF000000"/>
      <name val="ＭＳ 明朝"/>
      <family val="1"/>
      <charset val="128"/>
    </font>
    <font>
      <vertAlign val="subscript"/>
      <sz val="9"/>
      <name val="ＭＳ Ｐ明朝"/>
      <family val="1"/>
      <charset val="128"/>
    </font>
    <font>
      <sz val="8"/>
      <name val="ＭＳ Ｐ明朝"/>
      <family val="1"/>
      <charset val="128"/>
    </font>
    <font>
      <b/>
      <sz val="11"/>
      <name val="ＭＳ Ｐ明朝"/>
      <family val="1"/>
      <charset val="128"/>
    </font>
    <font>
      <sz val="9"/>
      <name val="ＭＳ Ｐ明朝"/>
      <family val="1"/>
      <charset val="128"/>
    </font>
    <font>
      <sz val="6"/>
      <name val="ＭＳ Ｐ明朝"/>
      <family val="1"/>
      <charset val="128"/>
    </font>
    <font>
      <sz val="10"/>
      <name val="ＭＳ Ｐ明朝"/>
      <family val="1"/>
      <charset val="128"/>
    </font>
    <font>
      <sz val="22"/>
      <name val="ＭＳ Ｐゴシック"/>
      <family val="3"/>
      <charset val="128"/>
      <scheme val="minor"/>
    </font>
    <font>
      <sz val="6"/>
      <name val="ＭＳ 明朝"/>
      <family val="1"/>
      <charset val="128"/>
    </font>
    <font>
      <sz val="21"/>
      <name val="ＭＳ Ｐゴシック"/>
      <family val="3"/>
      <charset val="128"/>
    </font>
    <font>
      <sz val="9"/>
      <name val="ＭＳ 明朝"/>
      <family val="1"/>
      <charset val="128"/>
    </font>
    <font>
      <sz val="21"/>
      <name val="ＭＳ 明朝"/>
      <family val="1"/>
      <charset val="128"/>
    </font>
    <font>
      <sz val="10.5"/>
      <color rgb="FF0070C0"/>
      <name val="ＭＳ 明朝"/>
      <family val="1"/>
      <charset val="128"/>
    </font>
    <font>
      <sz val="12"/>
      <color rgb="FF000000"/>
      <name val="ＭＳ ゴシック"/>
      <family val="3"/>
      <charset val="128"/>
    </font>
    <font>
      <sz val="8"/>
      <color rgb="FF000000"/>
      <name val="ＭＳ 明朝"/>
      <family val="1"/>
      <charset val="128"/>
    </font>
    <font>
      <sz val="7"/>
      <color rgb="FF000000"/>
      <name val="Times New Roman"/>
      <family val="1"/>
    </font>
    <font>
      <sz val="10.5"/>
      <color theme="1"/>
      <name val="ＭＳ 明朝"/>
      <family val="1"/>
      <charset val="128"/>
    </font>
    <font>
      <sz val="12"/>
      <name val="ＭＳ Ｐゴシック"/>
      <family val="3"/>
      <charset val="128"/>
    </font>
    <font>
      <sz val="22"/>
      <name val="ＭＳ ゴシック"/>
      <family val="3"/>
      <charset val="128"/>
    </font>
    <font>
      <sz val="11"/>
      <color rgb="FF0000FF"/>
      <name val="ＭＳ Ｐ明朝"/>
      <family val="1"/>
      <charset val="128"/>
    </font>
    <font>
      <sz val="12"/>
      <color rgb="FF0000FF"/>
      <name val="ＭＳ 明朝"/>
      <family val="1"/>
      <charset val="128"/>
    </font>
    <font>
      <sz val="10.5"/>
      <color rgb="FF0000FF"/>
      <name val="ＭＳ 明朝"/>
      <family val="1"/>
      <charset val="128"/>
    </font>
    <font>
      <sz val="11"/>
      <color theme="1"/>
      <name val="ＭＳ Ｐ明朝"/>
      <family val="1"/>
      <charset val="128"/>
    </font>
    <font>
      <b/>
      <sz val="11"/>
      <color rgb="FF0000FF"/>
      <name val="ＭＳ Ｐ明朝"/>
      <family val="1"/>
      <charset val="128"/>
    </font>
    <font>
      <sz val="11"/>
      <color rgb="FF0000FF"/>
      <name val="ＭＳ 明朝"/>
      <family val="1"/>
      <charset val="128"/>
    </font>
    <font>
      <sz val="11"/>
      <name val="ＭＳ Ｐゴシック"/>
      <family val="3"/>
      <charset val="128"/>
    </font>
    <font>
      <sz val="11"/>
      <color rgb="FF0000FF"/>
      <name val="ＭＳ Ｐゴシック"/>
      <family val="3"/>
      <charset val="128"/>
    </font>
    <font>
      <sz val="11"/>
      <color theme="0" tint="-4.9989318521683403E-2"/>
      <name val="ＭＳ Ｐ明朝"/>
      <family val="1"/>
      <charset val="128"/>
    </font>
    <font>
      <sz val="11"/>
      <color indexed="9"/>
      <name val="ＭＳ Ｐ明朝"/>
      <family val="1"/>
      <charset val="128"/>
    </font>
    <font>
      <sz val="12"/>
      <color indexed="9"/>
      <name val="ＭＳ Ｐ明朝"/>
      <family val="1"/>
      <charset val="128"/>
    </font>
    <font>
      <sz val="48"/>
      <color theme="0" tint="-0.14999847407452621"/>
      <name val="ＭＳ Ｐ明朝"/>
      <family val="1"/>
      <charset val="128"/>
    </font>
    <font>
      <sz val="48"/>
      <color indexed="22"/>
      <name val="ＭＳ Ｐ明朝"/>
      <family val="1"/>
      <charset val="128"/>
    </font>
    <font>
      <sz val="6"/>
      <name val="ＭＳ Ｐゴシック"/>
      <family val="2"/>
      <charset val="128"/>
      <scheme val="minor"/>
    </font>
    <font>
      <sz val="11"/>
      <color indexed="9"/>
      <name val="HGS明朝B"/>
      <family val="1"/>
      <charset val="128"/>
    </font>
    <font>
      <sz val="10"/>
      <color indexed="9"/>
      <name val="ＭＳ Ｐ明朝"/>
      <family val="1"/>
      <charset val="128"/>
    </font>
    <font>
      <sz val="12"/>
      <color theme="0" tint="-4.9989318521683403E-2"/>
      <name val="ＭＳ 明朝"/>
      <family val="1"/>
      <charset val="128"/>
    </font>
    <font>
      <sz val="10.5"/>
      <color rgb="FFFF0000"/>
      <name val="ＭＳ 明朝"/>
      <family val="1"/>
      <charset val="128"/>
    </font>
    <font>
      <sz val="18"/>
      <name val="ＭＳ 明朝"/>
      <family val="1"/>
      <charset val="128"/>
    </font>
    <font>
      <sz val="11"/>
      <name val="ＭＳ 明朝"/>
      <family val="1"/>
      <charset val="128"/>
    </font>
    <font>
      <sz val="6"/>
      <name val="ＭＳ Ｐゴシック"/>
      <family val="3"/>
      <charset val="128"/>
      <scheme val="minor"/>
    </font>
    <font>
      <sz val="16"/>
      <name val="ＭＳ 明朝"/>
      <family val="1"/>
      <charset val="128"/>
    </font>
    <font>
      <sz val="16"/>
      <color rgb="FF0000FF"/>
      <name val="ＭＳ 明朝"/>
      <family val="1"/>
      <charset val="128"/>
    </font>
    <font>
      <sz val="14"/>
      <name val="ＭＳ 明朝"/>
      <family val="1"/>
      <charset val="128"/>
    </font>
    <font>
      <sz val="8"/>
      <name val="ＭＳ 明朝"/>
      <family val="1"/>
      <charset val="128"/>
    </font>
    <font>
      <sz val="10"/>
      <color rgb="FF0000FF"/>
      <name val="ＭＳ 明朝"/>
      <family val="1"/>
      <charset val="128"/>
    </font>
    <font>
      <sz val="9"/>
      <color rgb="FF0000FF"/>
      <name val="ＭＳ 明朝"/>
      <family val="1"/>
      <charset val="128"/>
    </font>
    <font>
      <sz val="10"/>
      <color theme="1" tint="0.34998626667073579"/>
      <name val="ＭＳ 明朝"/>
      <family val="1"/>
      <charset val="128"/>
    </font>
    <font>
      <sz val="9"/>
      <color theme="1" tint="0.34998626667073579"/>
      <name val="ＭＳ 明朝"/>
      <family val="1"/>
      <charset val="128"/>
    </font>
    <font>
      <sz val="11"/>
      <color theme="1"/>
      <name val="ＭＳ 明朝"/>
      <family val="1"/>
      <charset val="128"/>
    </font>
    <font>
      <sz val="9"/>
      <color indexed="9"/>
      <name val="ＭＳ 明朝"/>
      <family val="1"/>
      <charset val="128"/>
    </font>
  </fonts>
  <fills count="2">
    <fill>
      <patternFill patternType="none"/>
    </fill>
    <fill>
      <patternFill patternType="gray125"/>
    </fill>
  </fills>
  <borders count="199">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ck">
        <color rgb="FF000000"/>
      </left>
      <right style="medium">
        <color rgb="FF000000"/>
      </right>
      <top style="medium">
        <color rgb="FF000000"/>
      </top>
      <bottom/>
      <diagonal/>
    </border>
    <border>
      <left/>
      <right style="medium">
        <color rgb="FF000000"/>
      </right>
      <top style="medium">
        <color rgb="FF000000"/>
      </top>
      <bottom/>
      <diagonal/>
    </border>
    <border>
      <left style="thick">
        <color rgb="FF000000"/>
      </left>
      <right style="medium">
        <color rgb="FF000000"/>
      </right>
      <top/>
      <bottom/>
      <diagonal/>
    </border>
    <border>
      <left/>
      <right style="medium">
        <color rgb="FF000000"/>
      </right>
      <top/>
      <bottom/>
      <diagonal/>
    </border>
    <border>
      <left/>
      <right style="medium">
        <color rgb="FF000000"/>
      </right>
      <top style="medium">
        <color rgb="FF000000"/>
      </top>
      <bottom style="medium">
        <color indexed="64"/>
      </bottom>
      <diagonal/>
    </border>
    <border>
      <left/>
      <right style="thick">
        <color rgb="FF000000"/>
      </right>
      <top style="medium">
        <color rgb="FF000000"/>
      </top>
      <bottom/>
      <diagonal/>
    </border>
    <border>
      <left style="medium">
        <color rgb="FF000000"/>
      </left>
      <right style="thick">
        <color rgb="FF000000"/>
      </right>
      <top style="medium">
        <color rgb="FF000000"/>
      </top>
      <bottom/>
      <diagonal/>
    </border>
    <border>
      <left style="medium">
        <color rgb="FF000000"/>
      </left>
      <right style="thick">
        <color rgb="FF000000"/>
      </right>
      <top/>
      <bottom/>
      <diagonal/>
    </border>
    <border>
      <left/>
      <right style="medium">
        <color rgb="FF000000"/>
      </right>
      <top style="double">
        <color rgb="FF000000"/>
      </top>
      <bottom/>
      <diagonal/>
    </border>
    <border>
      <left/>
      <right style="thick">
        <color rgb="FF000000"/>
      </right>
      <top style="double">
        <color rgb="FF000000"/>
      </top>
      <bottom/>
      <diagonal/>
    </border>
    <border>
      <left style="thick">
        <color rgb="FF000000"/>
      </left>
      <right style="medium">
        <color rgb="FF000000"/>
      </right>
      <top/>
      <bottom style="thick">
        <color rgb="FF000000"/>
      </bottom>
      <diagonal/>
    </border>
    <border>
      <left/>
      <right style="medium">
        <color rgb="FF000000"/>
      </right>
      <top/>
      <bottom style="thick">
        <color rgb="FF000000"/>
      </bottom>
      <diagonal/>
    </border>
    <border>
      <left style="thick">
        <color rgb="FF000000"/>
      </left>
      <right/>
      <top style="thick">
        <color rgb="FF000000"/>
      </top>
      <bottom style="double">
        <color rgb="FF000000"/>
      </bottom>
      <diagonal/>
    </border>
    <border>
      <left/>
      <right/>
      <top style="thick">
        <color rgb="FF000000"/>
      </top>
      <bottom style="double">
        <color rgb="FF000000"/>
      </bottom>
      <diagonal/>
    </border>
    <border>
      <left/>
      <right style="thick">
        <color rgb="FF000000"/>
      </right>
      <top style="thick">
        <color rgb="FF000000"/>
      </top>
      <bottom style="double">
        <color rgb="FF000000"/>
      </bottom>
      <diagonal/>
    </border>
    <border>
      <left style="thick">
        <color rgb="FF000000"/>
      </left>
      <right/>
      <top style="double">
        <color rgb="FF000000"/>
      </top>
      <bottom style="medium">
        <color rgb="FF000000"/>
      </bottom>
      <diagonal/>
    </border>
    <border>
      <left/>
      <right style="medium">
        <color rgb="FF000000"/>
      </right>
      <top style="double">
        <color rgb="FF000000"/>
      </top>
      <bottom style="medium">
        <color rgb="FF000000"/>
      </bottom>
      <diagonal/>
    </border>
    <border>
      <left style="thick">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thick">
        <color rgb="FF000000"/>
      </right>
      <top/>
      <bottom style="medium">
        <color rgb="FF000000"/>
      </bottom>
      <diagonal/>
    </border>
    <border diagonalUp="1">
      <left style="medium">
        <color rgb="FF000000"/>
      </left>
      <right style="medium">
        <color rgb="FF000000"/>
      </right>
      <top style="medium">
        <color rgb="FF000000"/>
      </top>
      <bottom/>
      <diagonal style="thin">
        <color indexed="64"/>
      </diagonal>
    </border>
    <border diagonalUp="1">
      <left style="medium">
        <color rgb="FF000000"/>
      </left>
      <right style="medium">
        <color rgb="FF000000"/>
      </right>
      <top/>
      <bottom style="medium">
        <color rgb="FF000000"/>
      </bottom>
      <diagonal style="thin">
        <color indexed="64"/>
      </diagonal>
    </border>
    <border>
      <left style="medium">
        <color rgb="FF000000"/>
      </left>
      <right style="medium">
        <color rgb="FF000000"/>
      </right>
      <top/>
      <bottom style="thick">
        <color rgb="FF000000"/>
      </bottom>
      <diagonal/>
    </border>
    <border>
      <left style="medium">
        <color rgb="FF000000"/>
      </left>
      <right style="thick">
        <color rgb="FF000000"/>
      </right>
      <top/>
      <bottom style="thick">
        <color rgb="FF000000"/>
      </bottom>
      <diagonal/>
    </border>
    <border>
      <left/>
      <right/>
      <top/>
      <bottom style="medium">
        <color rgb="FF000000"/>
      </bottom>
      <diagonal/>
    </border>
    <border>
      <left style="thick">
        <color rgb="FF000000"/>
      </left>
      <right style="medium">
        <color rgb="FF000000"/>
      </right>
      <top style="thick">
        <color rgb="FF000000"/>
      </top>
      <bottom style="medium">
        <color indexed="64"/>
      </bottom>
      <diagonal/>
    </border>
    <border>
      <left/>
      <right style="medium">
        <color rgb="FF000000"/>
      </right>
      <top style="thick">
        <color rgb="FF000000"/>
      </top>
      <bottom style="medium">
        <color indexed="64"/>
      </bottom>
      <diagonal/>
    </border>
    <border>
      <left/>
      <right style="double">
        <color rgb="FF000000"/>
      </right>
      <top style="thick">
        <color rgb="FF000000"/>
      </top>
      <bottom style="medium">
        <color indexed="64"/>
      </bottom>
      <diagonal/>
    </border>
    <border>
      <left/>
      <right style="medium">
        <color rgb="FF000000"/>
      </right>
      <top style="thick">
        <color rgb="FF000000"/>
      </top>
      <bottom/>
      <diagonal/>
    </border>
    <border>
      <left/>
      <right style="thick">
        <color rgb="FF000000"/>
      </right>
      <top style="thick">
        <color rgb="FF000000"/>
      </top>
      <bottom/>
      <diagonal/>
    </border>
    <border>
      <left/>
      <right style="double">
        <color rgb="FF000000"/>
      </right>
      <top/>
      <bottom style="medium">
        <color rgb="FF000000"/>
      </bottom>
      <diagonal/>
    </border>
    <border>
      <left/>
      <right style="double">
        <color rgb="FF000000"/>
      </right>
      <top style="medium">
        <color rgb="FF000000"/>
      </top>
      <bottom/>
      <diagonal/>
    </border>
    <border diagonalUp="1">
      <left/>
      <right style="thick">
        <color rgb="FF000000"/>
      </right>
      <top style="medium">
        <color rgb="FF000000"/>
      </top>
      <bottom/>
      <diagonal style="thin">
        <color indexed="64"/>
      </diagonal>
    </border>
    <border>
      <left style="thick">
        <color rgb="FF000000"/>
      </left>
      <right style="medium">
        <color rgb="FF000000"/>
      </right>
      <top style="medium">
        <color rgb="FF000000"/>
      </top>
      <bottom style="double">
        <color indexed="64"/>
      </bottom>
      <diagonal/>
    </border>
    <border>
      <left/>
      <right style="medium">
        <color rgb="FF000000"/>
      </right>
      <top style="medium">
        <color rgb="FF000000"/>
      </top>
      <bottom style="double">
        <color indexed="64"/>
      </bottom>
      <diagonal/>
    </border>
    <border>
      <left/>
      <right style="double">
        <color rgb="FF000000"/>
      </right>
      <top style="medium">
        <color rgb="FF000000"/>
      </top>
      <bottom style="double">
        <color indexed="64"/>
      </bottom>
      <diagonal/>
    </border>
    <border>
      <left style="thick">
        <color rgb="FF000000"/>
      </left>
      <right/>
      <top style="mediumDashed">
        <color rgb="FF000000"/>
      </top>
      <bottom style="thick">
        <color rgb="FF000000"/>
      </bottom>
      <diagonal/>
    </border>
    <border>
      <left/>
      <right/>
      <top style="mediumDashed">
        <color rgb="FF000000"/>
      </top>
      <bottom style="thick">
        <color rgb="FF000000"/>
      </bottom>
      <diagonal/>
    </border>
    <border>
      <left/>
      <right style="thick">
        <color rgb="FF000000"/>
      </right>
      <top style="mediumDashed">
        <color rgb="FF000000"/>
      </top>
      <bottom style="thick">
        <color rgb="FF000000"/>
      </bottom>
      <diagonal/>
    </border>
    <border>
      <left style="thick">
        <color rgb="FF000000"/>
      </left>
      <right style="medium">
        <color rgb="FF000000"/>
      </right>
      <top style="medium">
        <color indexed="64"/>
      </top>
      <bottom/>
      <diagonal/>
    </border>
    <border>
      <left style="medium">
        <color rgb="FF000000"/>
      </left>
      <right style="medium">
        <color rgb="FF000000"/>
      </right>
      <top style="medium">
        <color indexed="64"/>
      </top>
      <bottom/>
      <diagonal/>
    </border>
    <border>
      <left style="double">
        <color rgb="FF000000"/>
      </left>
      <right style="medium">
        <color rgb="FF000000"/>
      </right>
      <top style="medium">
        <color indexed="64"/>
      </top>
      <bottom/>
      <diagonal/>
    </border>
    <border>
      <left style="medium">
        <color rgb="FF000000"/>
      </left>
      <right style="double">
        <color rgb="FF000000"/>
      </right>
      <top style="medium">
        <color rgb="FF000000"/>
      </top>
      <bottom/>
      <diagonal/>
    </border>
    <border>
      <left style="double">
        <color rgb="FF000000"/>
      </left>
      <right style="medium">
        <color rgb="FF000000"/>
      </right>
      <top style="medium">
        <color rgb="FF000000"/>
      </top>
      <bottom/>
      <diagonal/>
    </border>
    <border>
      <left style="medium">
        <color rgb="FF000000"/>
      </left>
      <right style="medium">
        <color rgb="FF000000"/>
      </right>
      <top/>
      <bottom style="double">
        <color indexed="64"/>
      </bottom>
      <diagonal/>
    </border>
    <border>
      <left style="medium">
        <color rgb="FF000000"/>
      </left>
      <right style="thick">
        <color rgb="FF000000"/>
      </right>
      <top/>
      <bottom style="double">
        <color indexed="64"/>
      </bottom>
      <diagonal/>
    </border>
    <border>
      <left style="thick">
        <color rgb="FF000000"/>
      </left>
      <right/>
      <top style="double">
        <color indexed="64"/>
      </top>
      <bottom style="medium">
        <color rgb="FF000000"/>
      </bottom>
      <diagonal/>
    </border>
    <border>
      <left/>
      <right/>
      <top style="double">
        <color indexed="64"/>
      </top>
      <bottom style="medium">
        <color rgb="FF000000"/>
      </bottom>
      <diagonal/>
    </border>
    <border>
      <left/>
      <right style="thick">
        <color rgb="FF000000"/>
      </right>
      <top style="double">
        <color indexed="64"/>
      </top>
      <bottom style="medium">
        <color rgb="FF000000"/>
      </bottom>
      <diagonal/>
    </border>
    <border>
      <left style="thick">
        <color rgb="FF000000"/>
      </left>
      <right/>
      <top style="medium">
        <color rgb="FF000000"/>
      </top>
      <bottom style="mediumDashed">
        <color indexed="64"/>
      </bottom>
      <diagonal/>
    </border>
    <border>
      <left/>
      <right/>
      <top style="medium">
        <color rgb="FF000000"/>
      </top>
      <bottom style="mediumDashed">
        <color indexed="64"/>
      </bottom>
      <diagonal/>
    </border>
    <border>
      <left/>
      <right style="thick">
        <color rgb="FF000000"/>
      </right>
      <top style="medium">
        <color rgb="FF000000"/>
      </top>
      <bottom style="mediumDashed">
        <color indexed="64"/>
      </bottom>
      <diagonal/>
    </border>
    <border>
      <left style="thick">
        <color rgb="FF000000"/>
      </left>
      <right/>
      <top style="mediumDashed">
        <color indexed="64"/>
      </top>
      <bottom style="mediumDashed">
        <color rgb="FF000000"/>
      </bottom>
      <diagonal/>
    </border>
    <border>
      <left/>
      <right/>
      <top style="mediumDashed">
        <color indexed="64"/>
      </top>
      <bottom style="mediumDashed">
        <color rgb="FF000000"/>
      </bottom>
      <diagonal/>
    </border>
    <border>
      <left/>
      <right style="thick">
        <color rgb="FF000000"/>
      </right>
      <top style="mediumDashed">
        <color indexed="64"/>
      </top>
      <bottom style="mediumDashed">
        <color rgb="FF000000"/>
      </bottom>
      <diagonal/>
    </border>
    <border>
      <left style="thick">
        <color rgb="FF000000"/>
      </left>
      <right/>
      <top style="mediumDashed">
        <color rgb="FF000000"/>
      </top>
      <bottom style="mediumDashed">
        <color rgb="FF000000"/>
      </bottom>
      <diagonal/>
    </border>
    <border>
      <left/>
      <right/>
      <top style="mediumDashed">
        <color rgb="FF000000"/>
      </top>
      <bottom style="mediumDashed">
        <color rgb="FF000000"/>
      </bottom>
      <diagonal/>
    </border>
    <border>
      <left/>
      <right style="thick">
        <color rgb="FF000000"/>
      </right>
      <top style="mediumDashed">
        <color rgb="FF000000"/>
      </top>
      <bottom style="mediumDashed">
        <color rgb="FF000000"/>
      </bottom>
      <diagonal/>
    </border>
    <border>
      <left style="medium">
        <color rgb="FF000000"/>
      </left>
      <right style="thick">
        <color rgb="FF000000"/>
      </right>
      <top style="medium">
        <color rgb="FF000000"/>
      </top>
      <bottom style="medium">
        <color indexed="64"/>
      </bottom>
      <diagonal/>
    </border>
    <border>
      <left style="medium">
        <color rgb="FF000000"/>
      </left>
      <right style="double">
        <color rgb="FF000000"/>
      </right>
      <top style="medium">
        <color indexed="64"/>
      </top>
      <bottom style="medium">
        <color indexed="64"/>
      </bottom>
      <diagonal/>
    </border>
    <border>
      <left/>
      <right/>
      <top style="medium">
        <color rgb="FF000000"/>
      </top>
      <bottom/>
      <diagonal/>
    </border>
    <border>
      <left/>
      <right/>
      <top style="medium">
        <color indexed="64"/>
      </top>
      <bottom style="dotted">
        <color indexed="64"/>
      </bottom>
      <diagonal/>
    </border>
    <border>
      <left/>
      <right/>
      <top/>
      <bottom style="thick">
        <color indexed="64"/>
      </bottom>
      <diagonal/>
    </border>
    <border>
      <left/>
      <right style="medium">
        <color rgb="FF000000"/>
      </right>
      <top/>
      <bottom style="thick">
        <color indexed="64"/>
      </bottom>
      <diagonal/>
    </border>
    <border>
      <left/>
      <right/>
      <top style="dotted">
        <color indexed="64"/>
      </top>
      <bottom style="dotted">
        <color indexed="64"/>
      </bottom>
      <diagonal/>
    </border>
    <border>
      <left style="medium">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right style="thin">
        <color indexed="64"/>
      </right>
      <top style="medium">
        <color rgb="FF000000"/>
      </top>
      <bottom/>
      <diagonal/>
    </border>
    <border>
      <left/>
      <right style="thin">
        <color indexed="64"/>
      </right>
      <top/>
      <bottom style="medium">
        <color rgb="FF000000"/>
      </bottom>
      <diagonal/>
    </border>
    <border>
      <left style="thin">
        <color indexed="64"/>
      </left>
      <right style="thin">
        <color indexed="64"/>
      </right>
      <top/>
      <bottom/>
      <diagonal/>
    </border>
    <border>
      <left style="thin">
        <color indexed="64"/>
      </left>
      <right style="thin">
        <color indexed="64"/>
      </right>
      <top style="medium">
        <color indexed="64"/>
      </top>
      <bottom style="dotted">
        <color indexed="64"/>
      </bottom>
      <diagonal/>
    </border>
    <border>
      <left style="thin">
        <color indexed="64"/>
      </left>
      <right style="thin">
        <color indexed="64"/>
      </right>
      <top/>
      <bottom style="dotted">
        <color indexed="64"/>
      </bottom>
      <diagonal/>
    </border>
    <border>
      <left/>
      <right style="thin">
        <color indexed="64"/>
      </right>
      <top style="medium">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rgb="FF000000"/>
      </right>
      <top style="thin">
        <color indexed="64"/>
      </top>
      <bottom style="thin">
        <color indexed="64"/>
      </bottom>
      <diagonal/>
    </border>
    <border>
      <left/>
      <right style="medium">
        <color rgb="FF000000"/>
      </right>
      <top/>
      <bottom style="thin">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rgb="FF000000"/>
      </right>
      <top style="thin">
        <color indexed="64"/>
      </top>
      <bottom style="thin">
        <color indexed="64"/>
      </bottom>
      <diagonal/>
    </border>
    <border>
      <left style="thin">
        <color indexed="64"/>
      </left>
      <right/>
      <top style="dotted">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indexed="64"/>
      </left>
      <right style="medium">
        <color indexed="64"/>
      </right>
      <top style="dotted">
        <color indexed="64"/>
      </top>
      <bottom style="thin">
        <color indexed="64"/>
      </bottom>
      <diagonal/>
    </border>
    <border>
      <left style="thin">
        <color indexed="64"/>
      </left>
      <right style="medium">
        <color indexed="64"/>
      </right>
      <top style="medium">
        <color rgb="FF000000"/>
      </top>
      <bottom/>
      <diagonal/>
    </border>
    <border>
      <left style="thin">
        <color indexed="64"/>
      </left>
      <right style="medium">
        <color indexed="64"/>
      </right>
      <top/>
      <bottom style="medium">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hair">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hair">
        <color indexed="64"/>
      </right>
      <top style="thin">
        <color indexed="64"/>
      </top>
      <bottom/>
      <diagonal/>
    </border>
    <border>
      <left style="hair">
        <color indexed="64"/>
      </left>
      <right/>
      <top style="thin">
        <color indexed="64"/>
      </top>
      <bottom/>
      <diagonal/>
    </border>
    <border>
      <left/>
      <right style="hair">
        <color indexed="64"/>
      </right>
      <top/>
      <bottom/>
      <diagonal/>
    </border>
    <border>
      <left style="hair">
        <color indexed="64"/>
      </left>
      <right/>
      <top/>
      <bottom/>
      <diagonal/>
    </border>
    <border>
      <left/>
      <right style="hair">
        <color indexed="64"/>
      </right>
      <top/>
      <bottom style="hair">
        <color indexed="64"/>
      </bottom>
      <diagonal/>
    </border>
    <border>
      <left/>
      <right style="hair">
        <color indexed="64"/>
      </right>
      <top/>
      <bottom style="thin">
        <color indexed="64"/>
      </bottom>
      <diagonal/>
    </border>
    <border>
      <left style="hair">
        <color indexed="64"/>
      </left>
      <right/>
      <top/>
      <bottom style="thin">
        <color indexed="64"/>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5">
    <xf numFmtId="0" fontId="0" fillId="0" borderId="0"/>
    <xf numFmtId="0" fontId="42" fillId="0" borderId="0">
      <alignment vertical="center"/>
    </xf>
    <xf numFmtId="0" fontId="42" fillId="0" borderId="0">
      <alignment vertical="center"/>
    </xf>
    <xf numFmtId="0" fontId="1" fillId="0" borderId="0">
      <alignment vertical="center"/>
    </xf>
    <xf numFmtId="0" fontId="42" fillId="0" borderId="0">
      <alignment vertical="center"/>
    </xf>
  </cellStyleXfs>
  <cellXfs count="1107">
    <xf numFmtId="0" fontId="0" fillId="0" borderId="0" xfId="0"/>
    <xf numFmtId="0" fontId="3" fillId="0" borderId="9" xfId="0" applyFont="1" applyBorder="1" applyAlignment="1">
      <alignment horizontal="center" vertical="center"/>
    </xf>
    <xf numFmtId="0" fontId="5" fillId="0" borderId="0" xfId="0" applyFont="1"/>
    <xf numFmtId="0" fontId="8" fillId="0" borderId="25" xfId="0" applyFont="1" applyBorder="1" applyAlignment="1">
      <alignment horizontal="left" vertical="center" wrapText="1"/>
    </xf>
    <xf numFmtId="0" fontId="12" fillId="0" borderId="29" xfId="0" applyFont="1" applyBorder="1" applyAlignment="1">
      <alignment horizontal="center" vertical="center" wrapText="1"/>
    </xf>
    <xf numFmtId="0" fontId="12" fillId="0" borderId="30"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2" xfId="0" applyFont="1" applyBorder="1" applyAlignment="1">
      <alignment horizontal="left" vertical="center" wrapText="1"/>
    </xf>
    <xf numFmtId="0" fontId="12" fillId="0" borderId="24" xfId="0" applyFont="1" applyBorder="1" applyAlignment="1">
      <alignment horizontal="left" vertical="center" wrapText="1"/>
    </xf>
    <xf numFmtId="0" fontId="10" fillId="0" borderId="24" xfId="0" applyFont="1" applyBorder="1" applyAlignment="1">
      <alignment horizontal="left" vertical="center" wrapText="1"/>
    </xf>
    <xf numFmtId="0" fontId="6" fillId="0" borderId="24" xfId="0" applyFont="1" applyBorder="1" applyAlignment="1">
      <alignment horizontal="left" vertical="center" wrapText="1"/>
    </xf>
    <xf numFmtId="0" fontId="6" fillId="0" borderId="26" xfId="0" applyFont="1" applyBorder="1" applyAlignment="1">
      <alignment horizontal="left" vertical="center" wrapText="1"/>
    </xf>
    <xf numFmtId="0" fontId="10" fillId="0" borderId="23" xfId="0" applyFont="1" applyBorder="1" applyAlignment="1">
      <alignment horizontal="center" vertical="center" wrapText="1"/>
    </xf>
    <xf numFmtId="0" fontId="12" fillId="0" borderId="23" xfId="0" applyFont="1" applyBorder="1" applyAlignment="1">
      <alignment horizontal="center" vertical="center" wrapText="1"/>
    </xf>
    <xf numFmtId="0" fontId="0" fillId="0" borderId="23" xfId="0" applyBorder="1" applyAlignment="1">
      <alignment vertical="center" wrapText="1"/>
    </xf>
    <xf numFmtId="0" fontId="0" fillId="0" borderId="24" xfId="0" applyBorder="1" applyAlignment="1">
      <alignment vertical="center" wrapText="1"/>
    </xf>
    <xf numFmtId="0" fontId="12" fillId="0" borderId="32" xfId="0" applyFont="1" applyBorder="1" applyAlignment="1">
      <alignment horizontal="left" vertical="center" wrapText="1"/>
    </xf>
    <xf numFmtId="0" fontId="6" fillId="0" borderId="32" xfId="0" applyFont="1" applyBorder="1" applyAlignment="1">
      <alignment horizontal="left" vertical="center" wrapText="1"/>
    </xf>
    <xf numFmtId="0" fontId="13" fillId="0" borderId="24" xfId="0" applyFont="1" applyBorder="1" applyAlignment="1">
      <alignment horizontal="left" vertical="center" wrapText="1"/>
    </xf>
    <xf numFmtId="0" fontId="13" fillId="0" borderId="22" xfId="0" applyFont="1" applyBorder="1" applyAlignment="1">
      <alignment horizontal="justify" vertical="center" wrapText="1"/>
    </xf>
    <xf numFmtId="0" fontId="13" fillId="0" borderId="24" xfId="0" applyFont="1" applyBorder="1" applyAlignment="1">
      <alignment horizontal="justify" vertical="center" wrapText="1"/>
    </xf>
    <xf numFmtId="0" fontId="13" fillId="0" borderId="32" xfId="0" applyFont="1" applyBorder="1" applyAlignment="1">
      <alignment horizontal="justify" vertical="center" wrapText="1"/>
    </xf>
    <xf numFmtId="0" fontId="15" fillId="0" borderId="48"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22" xfId="0" applyFont="1" applyBorder="1" applyAlignment="1">
      <alignment horizontal="justify" vertical="center" wrapText="1"/>
    </xf>
    <xf numFmtId="0" fontId="15" fillId="0" borderId="21" xfId="0" applyFont="1" applyBorder="1" applyAlignment="1">
      <alignment horizontal="center" vertical="center" wrapText="1"/>
    </xf>
    <xf numFmtId="0" fontId="15" fillId="0" borderId="22" xfId="0" applyFont="1" applyBorder="1" applyAlignment="1">
      <alignment horizontal="center" vertical="center" wrapText="1"/>
    </xf>
    <xf numFmtId="0" fontId="9" fillId="0" borderId="22" xfId="0" applyFont="1" applyBorder="1" applyAlignment="1">
      <alignment horizontal="justify" vertical="center" wrapText="1"/>
    </xf>
    <xf numFmtId="0" fontId="8" fillId="0" borderId="22" xfId="0" applyFont="1" applyBorder="1" applyAlignment="1">
      <alignment horizontal="left" vertical="center" wrapText="1"/>
    </xf>
    <xf numFmtId="0" fontId="15" fillId="0" borderId="56" xfId="0" applyFont="1" applyBorder="1" applyAlignment="1">
      <alignment horizontal="center" vertical="center" wrapText="1"/>
    </xf>
    <xf numFmtId="0" fontId="15" fillId="0" borderId="57" xfId="0" applyFont="1" applyBorder="1" applyAlignment="1">
      <alignment horizontal="justify" vertical="center" wrapText="1"/>
    </xf>
    <xf numFmtId="0" fontId="6" fillId="0" borderId="58" xfId="0" applyFont="1" applyBorder="1" applyAlignment="1">
      <alignment horizontal="center" vertical="center" wrapText="1"/>
    </xf>
    <xf numFmtId="0" fontId="15" fillId="0" borderId="57" xfId="0" applyFont="1" applyBorder="1" applyAlignment="1">
      <alignment horizontal="center" vertical="center" wrapText="1"/>
    </xf>
    <xf numFmtId="0" fontId="6" fillId="0" borderId="68" xfId="0" applyFont="1" applyBorder="1" applyAlignment="1">
      <alignment horizontal="center" vertical="center" wrapText="1"/>
    </xf>
    <xf numFmtId="0" fontId="8" fillId="0" borderId="67" xfId="0" applyFont="1" applyBorder="1" applyAlignment="1">
      <alignment horizontal="left" vertical="center" wrapText="1"/>
    </xf>
    <xf numFmtId="0" fontId="15" fillId="0" borderId="66" xfId="0" applyFont="1" applyBorder="1" applyAlignment="1">
      <alignment horizontal="center" vertical="center" wrapText="1"/>
    </xf>
    <xf numFmtId="0" fontId="15" fillId="0" borderId="39" xfId="0" applyFont="1" applyBorder="1" applyAlignment="1">
      <alignment horizontal="justify" vertical="center" wrapText="1"/>
    </xf>
    <xf numFmtId="0" fontId="8" fillId="0" borderId="39" xfId="0" applyFont="1" applyBorder="1" applyAlignment="1">
      <alignment horizontal="justify" vertical="center" wrapText="1"/>
    </xf>
    <xf numFmtId="0" fontId="15" fillId="0" borderId="64" xfId="0" applyFont="1" applyBorder="1" applyAlignment="1">
      <alignment horizontal="center" vertical="center" wrapText="1"/>
    </xf>
    <xf numFmtId="0" fontId="15" fillId="0" borderId="63" xfId="0" applyFont="1" applyBorder="1" applyAlignment="1">
      <alignment horizontal="justify" vertical="center" wrapText="1"/>
    </xf>
    <xf numFmtId="0" fontId="15" fillId="0" borderId="62" xfId="0" applyFont="1" applyBorder="1" applyAlignment="1">
      <alignment horizontal="center" vertical="center" wrapText="1"/>
    </xf>
    <xf numFmtId="0" fontId="3" fillId="0" borderId="3" xfId="0" applyFont="1" applyBorder="1" applyAlignment="1">
      <alignment horizontal="center" vertical="center"/>
    </xf>
    <xf numFmtId="0" fontId="3" fillId="0" borderId="10" xfId="0" applyFont="1" applyBorder="1" applyAlignment="1">
      <alignment horizontal="center" vertical="center"/>
    </xf>
    <xf numFmtId="0" fontId="3" fillId="0" borderId="1" xfId="0" applyFont="1" applyBorder="1" applyAlignment="1">
      <alignment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vertical="center"/>
    </xf>
    <xf numFmtId="0" fontId="0" fillId="0" borderId="0" xfId="0" applyAlignment="1">
      <alignment vertical="center" wrapText="1"/>
    </xf>
    <xf numFmtId="0" fontId="7" fillId="0" borderId="47" xfId="0" applyFont="1" applyBorder="1" applyAlignment="1">
      <alignment vertical="center" wrapText="1"/>
    </xf>
    <xf numFmtId="0" fontId="0" fillId="0" borderId="11" xfId="0" applyBorder="1" applyAlignment="1">
      <alignment vertical="center" wrapText="1"/>
    </xf>
    <xf numFmtId="0" fontId="7" fillId="0" borderId="92" xfId="0" applyFont="1" applyBorder="1" applyAlignment="1">
      <alignment vertical="center" wrapText="1"/>
    </xf>
    <xf numFmtId="0" fontId="7" fillId="0" borderId="11" xfId="0" applyFont="1" applyBorder="1" applyAlignment="1">
      <alignment vertical="center" wrapText="1"/>
    </xf>
    <xf numFmtId="0" fontId="9" fillId="0" borderId="94" xfId="0" applyFont="1" applyBorder="1" applyAlignment="1">
      <alignment horizontal="center" vertical="center" wrapText="1"/>
    </xf>
    <xf numFmtId="3" fontId="7" fillId="0" borderId="95" xfId="0" applyNumberFormat="1" applyFont="1" applyBorder="1" applyAlignment="1">
      <alignment horizontal="justify" vertical="center" wrapText="1"/>
    </xf>
    <xf numFmtId="3" fontId="7" fillId="0" borderId="96" xfId="0" applyNumberFormat="1" applyFont="1" applyBorder="1" applyAlignment="1">
      <alignment horizontal="justify" vertical="center" wrapText="1"/>
    </xf>
    <xf numFmtId="0" fontId="7" fillId="0" borderId="96" xfId="0" applyFont="1" applyBorder="1" applyAlignment="1">
      <alignment horizontal="justify" vertical="center" wrapText="1"/>
    </xf>
    <xf numFmtId="0" fontId="7" fillId="0" borderId="91" xfId="0" applyFont="1" applyBorder="1" applyAlignment="1">
      <alignment vertical="center" wrapText="1"/>
    </xf>
    <xf numFmtId="0" fontId="0" fillId="0" borderId="19" xfId="0" applyBorder="1" applyAlignment="1">
      <alignment vertical="center" wrapText="1"/>
    </xf>
    <xf numFmtId="0" fontId="0" fillId="0" borderId="12" xfId="0" applyBorder="1" applyAlignment="1">
      <alignment vertical="center" wrapText="1"/>
    </xf>
    <xf numFmtId="0" fontId="0" fillId="0" borderId="14" xfId="0" applyBorder="1" applyAlignment="1">
      <alignment vertical="center" wrapText="1"/>
    </xf>
    <xf numFmtId="0" fontId="8" fillId="0" borderId="3" xfId="0" applyFont="1" applyBorder="1" applyAlignment="1">
      <alignment vertical="center" wrapText="1"/>
    </xf>
    <xf numFmtId="0" fontId="8" fillId="0" borderId="16" xfId="0" applyFont="1" applyBorder="1" applyAlignment="1">
      <alignment vertical="center" wrapText="1"/>
    </xf>
    <xf numFmtId="0" fontId="8" fillId="0" borderId="15" xfId="0" applyFont="1" applyBorder="1" applyAlignment="1">
      <alignment vertical="center" wrapText="1"/>
    </xf>
    <xf numFmtId="0" fontId="6" fillId="0" borderId="101" xfId="0" applyFont="1" applyBorder="1" applyAlignment="1">
      <alignment horizontal="center" vertical="center" wrapText="1"/>
    </xf>
    <xf numFmtId="0" fontId="6" fillId="0" borderId="85" xfId="0" applyFont="1" applyBorder="1" applyAlignment="1">
      <alignment vertical="center" wrapText="1"/>
    </xf>
    <xf numFmtId="0" fontId="6" fillId="0" borderId="103" xfId="0" applyFont="1" applyBorder="1" applyAlignment="1">
      <alignment vertical="center" wrapText="1"/>
    </xf>
    <xf numFmtId="0" fontId="6" fillId="0" borderId="104" xfId="0" applyFont="1" applyBorder="1" applyAlignment="1">
      <alignment vertical="center" wrapText="1"/>
    </xf>
    <xf numFmtId="0" fontId="6" fillId="0" borderId="86" xfId="0" applyFont="1" applyBorder="1" applyAlignment="1">
      <alignment horizontal="justify" vertical="center" wrapText="1"/>
    </xf>
    <xf numFmtId="0" fontId="3" fillId="0" borderId="0" xfId="0" applyFont="1" applyAlignment="1">
      <alignment horizontal="left" vertical="center" wrapText="1"/>
    </xf>
    <xf numFmtId="3" fontId="6" fillId="0" borderId="3" xfId="0" applyNumberFormat="1" applyFont="1" applyBorder="1" applyAlignment="1">
      <alignment horizontal="center" vertical="center" wrapText="1"/>
    </xf>
    <xf numFmtId="0" fontId="6" fillId="0" borderId="3" xfId="0" applyFont="1" applyBorder="1" applyAlignment="1">
      <alignment horizontal="center" vertical="center" wrapText="1"/>
    </xf>
    <xf numFmtId="0" fontId="6" fillId="0" borderId="14" xfId="0" applyFont="1" applyBorder="1" applyAlignment="1">
      <alignment horizontal="center" vertical="center" wrapText="1"/>
    </xf>
    <xf numFmtId="0" fontId="3" fillId="0" borderId="0" xfId="0" applyFont="1"/>
    <xf numFmtId="0" fontId="3" fillId="0" borderId="4" xfId="0" applyFont="1" applyBorder="1" applyAlignment="1">
      <alignment horizontal="right" vertical="center"/>
    </xf>
    <xf numFmtId="0" fontId="3" fillId="0" borderId="88"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3" fillId="0" borderId="0" xfId="0" applyFont="1" applyAlignment="1">
      <alignment vertical="center"/>
    </xf>
    <xf numFmtId="0" fontId="3" fillId="0" borderId="1" xfId="0" applyFont="1" applyBorder="1" applyAlignment="1">
      <alignment horizontal="center" vertical="center"/>
    </xf>
    <xf numFmtId="0" fontId="3" fillId="0" borderId="117" xfId="0" applyFont="1" applyBorder="1" applyAlignment="1">
      <alignment horizontal="center" vertical="center"/>
    </xf>
    <xf numFmtId="0" fontId="3" fillId="0" borderId="7" xfId="0" applyFont="1" applyBorder="1" applyAlignment="1">
      <alignment vertical="center"/>
    </xf>
    <xf numFmtId="0" fontId="3" fillId="0" borderId="122" xfId="0" applyFont="1" applyBorder="1" applyAlignment="1">
      <alignment vertical="center"/>
    </xf>
    <xf numFmtId="0" fontId="3" fillId="0" borderId="123" xfId="0" applyFont="1" applyBorder="1" applyAlignment="1">
      <alignment horizontal="center" vertical="center"/>
    </xf>
    <xf numFmtId="0" fontId="3" fillId="0" borderId="124" xfId="0" applyFont="1" applyBorder="1" applyAlignment="1">
      <alignment vertical="center"/>
    </xf>
    <xf numFmtId="0" fontId="3" fillId="0" borderId="125" xfId="0" applyFont="1" applyBorder="1" applyAlignment="1">
      <alignment vertical="center"/>
    </xf>
    <xf numFmtId="0" fontId="3" fillId="0" borderId="126" xfId="0" applyFont="1" applyBorder="1" applyAlignment="1">
      <alignment vertical="center"/>
    </xf>
    <xf numFmtId="0" fontId="3" fillId="0" borderId="9" xfId="0" applyFont="1" applyBorder="1" applyAlignment="1">
      <alignment vertical="center"/>
    </xf>
    <xf numFmtId="0" fontId="0" fillId="0" borderId="126" xfId="0" applyBorder="1" applyAlignment="1">
      <alignment vertical="center"/>
    </xf>
    <xf numFmtId="0" fontId="3" fillId="0" borderId="127" xfId="0" applyFont="1" applyBorder="1" applyAlignment="1">
      <alignment vertical="center"/>
    </xf>
    <xf numFmtId="0" fontId="3" fillId="0" borderId="3" xfId="0" applyFont="1" applyBorder="1" applyAlignment="1">
      <alignment vertical="center"/>
    </xf>
    <xf numFmtId="0" fontId="3" fillId="0" borderId="118" xfId="0" applyFont="1" applyBorder="1" applyAlignment="1">
      <alignment vertical="center"/>
    </xf>
    <xf numFmtId="0" fontId="3" fillId="0" borderId="8" xfId="0" quotePrefix="1" applyFont="1" applyBorder="1" applyAlignment="1">
      <alignment horizontal="center" vertical="center"/>
    </xf>
    <xf numFmtId="0" fontId="3" fillId="0" borderId="8" xfId="0" applyFont="1" applyBorder="1" applyAlignment="1">
      <alignment vertical="center"/>
    </xf>
    <xf numFmtId="0" fontId="3" fillId="0" borderId="119" xfId="0" quotePrefix="1" applyFont="1" applyBorder="1" applyAlignment="1">
      <alignment horizontal="center" vertical="center"/>
    </xf>
    <xf numFmtId="0" fontId="3" fillId="0" borderId="117" xfId="0" applyFont="1" applyBorder="1" applyAlignment="1">
      <alignment vertical="center"/>
    </xf>
    <xf numFmtId="0" fontId="3" fillId="0" borderId="128" xfId="0" applyFont="1" applyBorder="1" applyAlignment="1">
      <alignment vertical="center"/>
    </xf>
    <xf numFmtId="0" fontId="3" fillId="0" borderId="129" xfId="0" quotePrefix="1" applyFont="1" applyBorder="1" applyAlignment="1">
      <alignment horizontal="center" vertical="center"/>
    </xf>
    <xf numFmtId="0" fontId="3" fillId="0" borderId="129" xfId="0" applyFont="1" applyBorder="1" applyAlignment="1">
      <alignment vertical="center"/>
    </xf>
    <xf numFmtId="0" fontId="3" fillId="0" borderId="130" xfId="0" applyFont="1" applyBorder="1" applyAlignment="1">
      <alignment vertical="center"/>
    </xf>
    <xf numFmtId="0" fontId="19" fillId="0" borderId="5" xfId="0" applyFont="1" applyBorder="1" applyAlignment="1">
      <alignment vertical="center"/>
    </xf>
    <xf numFmtId="0" fontId="21" fillId="0" borderId="5" xfId="0" applyFont="1" applyBorder="1" applyAlignment="1">
      <alignment horizontal="center" vertical="center"/>
    </xf>
    <xf numFmtId="0" fontId="22" fillId="0" borderId="0" xfId="0" applyFont="1"/>
    <xf numFmtId="0" fontId="21" fillId="0" borderId="0" xfId="0" applyFont="1" applyAlignment="1">
      <alignment vertical="center"/>
    </xf>
    <xf numFmtId="0" fontId="3" fillId="0" borderId="133" xfId="0" applyFont="1" applyBorder="1" applyAlignment="1">
      <alignment vertical="center"/>
    </xf>
    <xf numFmtId="0" fontId="21" fillId="0" borderId="0" xfId="0" applyFont="1" applyAlignment="1">
      <alignment horizontal="right" vertical="center"/>
    </xf>
    <xf numFmtId="0" fontId="23" fillId="0" borderId="0" xfId="0" applyFont="1"/>
    <xf numFmtId="0" fontId="3" fillId="0" borderId="4" xfId="0" applyFont="1" applyBorder="1" applyAlignment="1">
      <alignment vertical="center"/>
    </xf>
    <xf numFmtId="0" fontId="19" fillId="0" borderId="4" xfId="0" applyFont="1" applyBorder="1" applyAlignment="1">
      <alignment vertical="center"/>
    </xf>
    <xf numFmtId="0" fontId="0" fillId="0" borderId="0" xfId="0" applyAlignment="1">
      <alignment vertical="center"/>
    </xf>
    <xf numFmtId="0" fontId="19" fillId="0" borderId="0" xfId="0" applyFont="1" applyAlignment="1">
      <alignment vertical="center"/>
    </xf>
    <xf numFmtId="0" fontId="23" fillId="0" borderId="5" xfId="0" applyFont="1" applyBorder="1" applyAlignment="1">
      <alignment vertical="center"/>
    </xf>
    <xf numFmtId="0" fontId="23" fillId="0" borderId="5" xfId="0" applyFont="1" applyBorder="1" applyAlignment="1">
      <alignment horizontal="right" vertical="center"/>
    </xf>
    <xf numFmtId="0" fontId="21" fillId="0" borderId="6" xfId="0" applyFont="1" applyBorder="1" applyAlignment="1">
      <alignment vertical="center"/>
    </xf>
    <xf numFmtId="0" fontId="23" fillId="0" borderId="0" xfId="0" applyFont="1" applyAlignment="1">
      <alignment vertical="center"/>
    </xf>
    <xf numFmtId="0" fontId="23" fillId="0" borderId="0" xfId="0" applyFont="1" applyAlignment="1">
      <alignment horizontal="right" vertical="center"/>
    </xf>
    <xf numFmtId="0" fontId="21" fillId="0" borderId="133" xfId="0" applyFont="1" applyBorder="1" applyAlignment="1">
      <alignment vertical="center"/>
    </xf>
    <xf numFmtId="0" fontId="3" fillId="0" borderId="135" xfId="0" applyFont="1" applyBorder="1" applyAlignment="1">
      <alignment vertical="center"/>
    </xf>
    <xf numFmtId="0" fontId="3" fillId="0" borderId="0" xfId="0" applyFont="1" applyAlignment="1">
      <alignment horizontal="right" vertical="center"/>
    </xf>
    <xf numFmtId="0" fontId="3" fillId="0" borderId="133" xfId="0" applyFont="1" applyBorder="1" applyAlignment="1">
      <alignment vertical="center" wrapText="1"/>
    </xf>
    <xf numFmtId="0" fontId="3" fillId="0" borderId="136" xfId="0" applyFont="1" applyBorder="1" applyAlignment="1">
      <alignment vertical="center"/>
    </xf>
    <xf numFmtId="0" fontId="3" fillId="0" borderId="134" xfId="0" applyFont="1" applyBorder="1" applyAlignment="1">
      <alignment vertical="center" wrapText="1"/>
    </xf>
    <xf numFmtId="0" fontId="24" fillId="0" borderId="0" xfId="0" applyFont="1" applyAlignment="1">
      <alignment horizontal="center"/>
    </xf>
    <xf numFmtId="0" fontId="3" fillId="0" borderId="0" xfId="0" applyFont="1" applyAlignment="1">
      <alignment horizontal="right"/>
    </xf>
    <xf numFmtId="49" fontId="3" fillId="0" borderId="0" xfId="0" applyNumberFormat="1" applyFont="1"/>
    <xf numFmtId="0" fontId="3" fillId="0" borderId="0" xfId="0" applyFont="1" applyAlignment="1">
      <alignment horizontal="distributed"/>
    </xf>
    <xf numFmtId="0" fontId="3" fillId="0" borderId="137" xfId="0" applyFont="1" applyBorder="1"/>
    <xf numFmtId="0" fontId="3" fillId="0" borderId="138" xfId="0" applyFont="1" applyBorder="1"/>
    <xf numFmtId="0" fontId="3" fillId="0" borderId="139" xfId="0" applyFont="1" applyBorder="1"/>
    <xf numFmtId="0" fontId="3" fillId="0" borderId="135" xfId="0" applyFont="1" applyBorder="1"/>
    <xf numFmtId="0" fontId="3" fillId="0" borderId="11" xfId="0" applyFont="1" applyBorder="1"/>
    <xf numFmtId="0" fontId="3" fillId="0" borderId="0" xfId="0" applyFont="1" applyAlignment="1">
      <alignment horizontal="left" vertical="center"/>
    </xf>
    <xf numFmtId="0" fontId="4" fillId="0" borderId="0" xfId="0" applyFont="1"/>
    <xf numFmtId="0" fontId="3" fillId="0" borderId="159" xfId="0" applyFont="1" applyBorder="1" applyAlignment="1">
      <alignment horizontal="center" vertical="center"/>
    </xf>
    <xf numFmtId="0" fontId="3" fillId="0" borderId="133" xfId="0" applyFont="1" applyBorder="1" applyAlignment="1">
      <alignment horizontal="center" vertical="center"/>
    </xf>
    <xf numFmtId="0" fontId="3" fillId="0" borderId="160" xfId="0" applyFont="1" applyBorder="1" applyAlignment="1">
      <alignment horizontal="center" vertical="center"/>
    </xf>
    <xf numFmtId="0" fontId="3" fillId="0" borderId="4" xfId="0" applyFont="1" applyBorder="1" applyAlignment="1">
      <alignment horizontal="left" vertical="center" wrapText="1"/>
    </xf>
    <xf numFmtId="0" fontId="3" fillId="0" borderId="134" xfId="0"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wrapText="1"/>
    </xf>
    <xf numFmtId="0" fontId="10" fillId="0" borderId="3" xfId="0" applyFont="1" applyBorder="1" applyAlignment="1">
      <alignment horizontal="left" vertical="center" wrapText="1"/>
    </xf>
    <xf numFmtId="0" fontId="10" fillId="0" borderId="3" xfId="0" applyFont="1" applyBorder="1" applyAlignment="1">
      <alignment horizontal="center" vertical="center" wrapText="1"/>
    </xf>
    <xf numFmtId="0" fontId="8" fillId="0" borderId="3" xfId="0" applyFont="1" applyBorder="1" applyAlignment="1">
      <alignment horizontal="center" vertical="center" wrapText="1"/>
    </xf>
    <xf numFmtId="0" fontId="8" fillId="0" borderId="3" xfId="0" applyFont="1" applyBorder="1" applyAlignment="1">
      <alignment horizontal="left" vertical="center" wrapText="1"/>
    </xf>
    <xf numFmtId="0" fontId="8" fillId="0" borderId="3" xfId="0" applyFont="1" applyBorder="1" applyAlignment="1">
      <alignment horizontal="justify" vertical="center" wrapText="1"/>
    </xf>
    <xf numFmtId="0" fontId="27" fillId="0" borderId="3" xfId="0" applyFont="1" applyBorder="1" applyAlignment="1">
      <alignment horizontal="center" vertical="center" wrapText="1"/>
    </xf>
    <xf numFmtId="0" fontId="28" fillId="0" borderId="0" xfId="0" applyFont="1"/>
    <xf numFmtId="0" fontId="5" fillId="0" borderId="0" xfId="0" applyFont="1" applyAlignment="1">
      <alignment horizontal="distributed"/>
    </xf>
    <xf numFmtId="184" fontId="3" fillId="0" borderId="0" xfId="0" applyNumberFormat="1" applyFont="1" applyAlignment="1">
      <alignment vertical="center" shrinkToFit="1"/>
    </xf>
    <xf numFmtId="0" fontId="20" fillId="0" borderId="138" xfId="0" applyFont="1" applyBorder="1"/>
    <xf numFmtId="0" fontId="4" fillId="0" borderId="0" xfId="0" applyFont="1" applyAlignment="1">
      <alignment horizontal="center"/>
    </xf>
    <xf numFmtId="0" fontId="10" fillId="0" borderId="3" xfId="0" applyFont="1" applyBorder="1" applyAlignment="1">
      <alignment horizontal="justify" vertical="center" wrapText="1"/>
    </xf>
    <xf numFmtId="0" fontId="7" fillId="0" borderId="3" xfId="0" applyFont="1" applyBorder="1" applyAlignment="1">
      <alignment horizontal="justify" vertical="center" wrapText="1"/>
    </xf>
    <xf numFmtId="0" fontId="30" fillId="0" borderId="3" xfId="0" applyFont="1" applyBorder="1" applyAlignment="1">
      <alignment horizontal="justify" vertical="center" wrapText="1"/>
    </xf>
    <xf numFmtId="0" fontId="29" fillId="0" borderId="3" xfId="0" applyFont="1" applyBorder="1" applyAlignment="1">
      <alignment horizontal="center" vertical="center" wrapText="1"/>
    </xf>
    <xf numFmtId="0" fontId="31" fillId="0" borderId="3" xfId="0" applyFont="1" applyBorder="1" applyAlignment="1">
      <alignment horizontal="justify" vertical="center" wrapText="1"/>
    </xf>
    <xf numFmtId="0" fontId="31" fillId="0" borderId="3" xfId="0" applyFont="1" applyBorder="1" applyAlignment="1">
      <alignment horizontal="left" vertical="center" wrapText="1"/>
    </xf>
    <xf numFmtId="0" fontId="31" fillId="0" borderId="3" xfId="0" applyFont="1" applyBorder="1" applyAlignment="1">
      <alignment horizontal="center" vertical="center" wrapText="1"/>
    </xf>
    <xf numFmtId="0" fontId="33" fillId="0" borderId="3" xfId="0" applyFont="1" applyBorder="1" applyAlignment="1">
      <alignment horizontal="center" vertical="center" wrapText="1"/>
    </xf>
    <xf numFmtId="0" fontId="3" fillId="0" borderId="0" xfId="0" quotePrefix="1" applyFont="1" applyAlignment="1">
      <alignment horizontal="center" vertical="center"/>
    </xf>
    <xf numFmtId="0" fontId="3" fillId="0" borderId="165" xfId="0" applyFont="1" applyBorder="1" applyAlignment="1">
      <alignment vertical="center"/>
    </xf>
    <xf numFmtId="0" fontId="34" fillId="0" borderId="0" xfId="0" applyFont="1"/>
    <xf numFmtId="0" fontId="0" fillId="0" borderId="0" xfId="0" applyAlignment="1">
      <alignment horizontal="left" vertical="top" wrapText="1"/>
    </xf>
    <xf numFmtId="0" fontId="21" fillId="0" borderId="3" xfId="0" applyFont="1" applyBorder="1" applyAlignment="1">
      <alignment horizontal="center" vertical="center"/>
    </xf>
    <xf numFmtId="0" fontId="3" fillId="0" borderId="129" xfId="0" applyFont="1" applyBorder="1" applyAlignment="1">
      <alignment horizontal="center" vertical="center"/>
    </xf>
    <xf numFmtId="0" fontId="10" fillId="0" borderId="0" xfId="0" applyFont="1" applyAlignment="1">
      <alignment vertical="center"/>
    </xf>
    <xf numFmtId="0" fontId="3" fillId="0" borderId="0" xfId="0" applyFont="1" applyAlignment="1">
      <alignment vertical="center" wrapText="1"/>
    </xf>
    <xf numFmtId="0" fontId="0" fillId="0" borderId="133" xfId="0" applyBorder="1"/>
    <xf numFmtId="0" fontId="9" fillId="0" borderId="13" xfId="0" applyFont="1" applyBorder="1" applyAlignment="1">
      <alignment horizontal="center" vertical="center" wrapText="1"/>
    </xf>
    <xf numFmtId="176" fontId="36" fillId="0" borderId="3" xfId="0" applyNumberFormat="1" applyFont="1" applyBorder="1" applyAlignment="1">
      <alignment horizontal="center" vertical="center"/>
    </xf>
    <xf numFmtId="176" fontId="36" fillId="0" borderId="129" xfId="0" applyNumberFormat="1" applyFont="1" applyBorder="1" applyAlignment="1">
      <alignment horizontal="center" vertical="center"/>
    </xf>
    <xf numFmtId="0" fontId="39" fillId="0" borderId="3" xfId="0" quotePrefix="1" applyFont="1" applyBorder="1" applyAlignment="1">
      <alignment horizontal="center" vertical="center"/>
    </xf>
    <xf numFmtId="177" fontId="36" fillId="0" borderId="8" xfId="0" applyNumberFormat="1" applyFont="1" applyBorder="1" applyAlignment="1">
      <alignment horizontal="center" vertical="center"/>
    </xf>
    <xf numFmtId="0" fontId="36" fillId="0" borderId="8" xfId="0" applyFont="1" applyBorder="1" applyAlignment="1">
      <alignment horizontal="center" vertical="center"/>
    </xf>
    <xf numFmtId="185" fontId="36" fillId="0" borderId="3" xfId="0" quotePrefix="1" applyNumberFormat="1" applyFont="1" applyBorder="1" applyAlignment="1">
      <alignment horizontal="center" vertical="center"/>
    </xf>
    <xf numFmtId="185" fontId="36" fillId="0" borderId="3" xfId="0" applyNumberFormat="1" applyFont="1" applyBorder="1" applyAlignment="1">
      <alignment horizontal="center" vertical="center"/>
    </xf>
    <xf numFmtId="0" fontId="36" fillId="0" borderId="129" xfId="0" quotePrefix="1" applyFont="1" applyBorder="1" applyAlignment="1">
      <alignment horizontal="center" vertical="center"/>
    </xf>
    <xf numFmtId="0" fontId="36" fillId="0" borderId="166" xfId="0" applyFont="1" applyBorder="1" applyAlignment="1">
      <alignment horizontal="center" vertical="center"/>
    </xf>
    <xf numFmtId="0" fontId="40" fillId="0" borderId="5" xfId="0" quotePrefix="1" applyFont="1" applyBorder="1" applyAlignment="1">
      <alignment horizontal="center" vertical="center"/>
    </xf>
    <xf numFmtId="0" fontId="40" fillId="0" borderId="4" xfId="0" applyFont="1" applyBorder="1" applyAlignment="1">
      <alignment horizontal="left"/>
    </xf>
    <xf numFmtId="0" fontId="23" fillId="0" borderId="133" xfId="0" applyFont="1" applyBorder="1" applyAlignment="1">
      <alignment vertical="center"/>
    </xf>
    <xf numFmtId="0" fontId="23" fillId="0" borderId="134" xfId="0" applyFont="1" applyBorder="1" applyAlignment="1">
      <alignment vertical="center"/>
    </xf>
    <xf numFmtId="0" fontId="38" fillId="0" borderId="3" xfId="0" applyFont="1" applyBorder="1" applyAlignment="1">
      <alignment horizontal="center" vertical="center" wrapText="1"/>
    </xf>
    <xf numFmtId="186" fontId="0" fillId="0" borderId="0" xfId="0" applyNumberFormat="1"/>
    <xf numFmtId="186" fontId="16" fillId="0" borderId="0" xfId="0" applyNumberFormat="1" applyFont="1" applyAlignment="1">
      <alignment horizontal="center"/>
    </xf>
    <xf numFmtId="186" fontId="10" fillId="0" borderId="172" xfId="0" applyNumberFormat="1" applyFont="1" applyBorder="1" applyAlignment="1">
      <alignment horizontal="center" vertical="center" wrapText="1"/>
    </xf>
    <xf numFmtId="0" fontId="36" fillId="0" borderId="117" xfId="0" applyFont="1" applyBorder="1" applyAlignment="1">
      <alignment horizontal="center" vertical="center"/>
    </xf>
    <xf numFmtId="187" fontId="10" fillId="0" borderId="172" xfId="0" applyNumberFormat="1" applyFont="1" applyBorder="1" applyAlignment="1">
      <alignment horizontal="center" vertical="center" wrapText="1"/>
    </xf>
    <xf numFmtId="187" fontId="41" fillId="0" borderId="172" xfId="0" applyNumberFormat="1" applyFont="1" applyBorder="1" applyAlignment="1">
      <alignment horizontal="right" vertical="center" wrapText="1"/>
    </xf>
    <xf numFmtId="187" fontId="10" fillId="0" borderId="163" xfId="0" applyNumberFormat="1" applyFont="1" applyBorder="1" applyAlignment="1">
      <alignment horizontal="center" vertical="center" wrapText="1"/>
    </xf>
    <xf numFmtId="187" fontId="33" fillId="0" borderId="163" xfId="0" applyNumberFormat="1" applyFont="1" applyBorder="1" applyAlignment="1">
      <alignment horizontal="center" vertical="center" wrapText="1"/>
    </xf>
    <xf numFmtId="187" fontId="10" fillId="0" borderId="164" xfId="0" applyNumberFormat="1" applyFont="1" applyBorder="1" applyAlignment="1">
      <alignment horizontal="center" vertical="center" wrapText="1"/>
    </xf>
    <xf numFmtId="187" fontId="33" fillId="0" borderId="164" xfId="0" applyNumberFormat="1" applyFont="1" applyBorder="1" applyAlignment="1">
      <alignment horizontal="center" vertical="center" wrapText="1"/>
    </xf>
    <xf numFmtId="187" fontId="38" fillId="0" borderId="172" xfId="0" applyNumberFormat="1" applyFont="1" applyBorder="1" applyAlignment="1">
      <alignment horizontal="center" vertical="center" wrapText="1"/>
    </xf>
    <xf numFmtId="0" fontId="37" fillId="0" borderId="82" xfId="0" applyFont="1" applyBorder="1" applyAlignment="1">
      <alignment horizontal="center" vertical="center" wrapText="1"/>
    </xf>
    <xf numFmtId="0" fontId="37" fillId="0" borderId="53" xfId="0" applyFont="1" applyBorder="1" applyAlignment="1">
      <alignment horizontal="center" vertical="center" wrapText="1"/>
    </xf>
    <xf numFmtId="0" fontId="37" fillId="0" borderId="65" xfId="0" applyFont="1" applyBorder="1" applyAlignment="1">
      <alignment horizontal="center" vertical="center" wrapText="1"/>
    </xf>
    <xf numFmtId="0" fontId="38" fillId="0" borderId="65" xfId="0" applyFont="1" applyBorder="1" applyAlignment="1">
      <alignment horizontal="center" vertical="center" wrapText="1"/>
    </xf>
    <xf numFmtId="0" fontId="37" fillId="0" borderId="54" xfId="0" applyFont="1" applyBorder="1" applyAlignment="1">
      <alignment horizontal="center" vertical="center" wrapText="1"/>
    </xf>
    <xf numFmtId="0" fontId="37" fillId="0" borderId="27" xfId="0" applyFont="1" applyBorder="1" applyAlignment="1">
      <alignment horizontal="center" vertical="center" wrapText="1"/>
    </xf>
    <xf numFmtId="0" fontId="37" fillId="0" borderId="26" xfId="0" applyFont="1" applyBorder="1" applyAlignment="1">
      <alignment horizontal="center" vertical="center" wrapText="1"/>
    </xf>
    <xf numFmtId="0" fontId="37" fillId="0" borderId="55" xfId="0" applyFont="1" applyBorder="1" applyAlignment="1">
      <alignment horizontal="center" vertical="center" wrapText="1"/>
    </xf>
    <xf numFmtId="0" fontId="37" fillId="0" borderId="81" xfId="0" applyFont="1" applyBorder="1" applyAlignment="1">
      <alignment horizontal="center" vertical="center" wrapText="1"/>
    </xf>
    <xf numFmtId="0" fontId="37" fillId="0" borderId="22" xfId="0" applyFont="1" applyBorder="1" applyAlignment="1">
      <alignment horizontal="center" vertical="center" wrapText="1"/>
    </xf>
    <xf numFmtId="0" fontId="37" fillId="0" borderId="24" xfId="0" applyFont="1" applyBorder="1" applyAlignment="1">
      <alignment horizontal="center" vertical="center" wrapText="1"/>
    </xf>
    <xf numFmtId="0" fontId="43" fillId="0" borderId="24" xfId="0" applyFont="1" applyBorder="1" applyAlignment="1">
      <alignment vertical="top" wrapText="1"/>
    </xf>
    <xf numFmtId="0" fontId="37" fillId="0" borderId="110" xfId="0" applyFont="1" applyBorder="1" applyAlignment="1">
      <alignment horizontal="center" vertical="center" wrapText="1"/>
    </xf>
    <xf numFmtId="0" fontId="37" fillId="0" borderId="111" xfId="0" applyFont="1" applyBorder="1" applyAlignment="1">
      <alignment horizontal="center" vertical="center" wrapText="1"/>
    </xf>
    <xf numFmtId="3" fontId="37" fillId="0" borderId="105" xfId="0" applyNumberFormat="1" applyFont="1" applyBorder="1" applyAlignment="1">
      <alignment horizontal="center" vertical="center" wrapText="1"/>
    </xf>
    <xf numFmtId="0" fontId="37" fillId="0" borderId="105" xfId="0" applyFont="1" applyBorder="1" applyAlignment="1">
      <alignment horizontal="center" vertical="center" wrapText="1"/>
    </xf>
    <xf numFmtId="0" fontId="37" fillId="0" borderId="102" xfId="0" applyFont="1" applyBorder="1" applyAlignment="1">
      <alignment horizontal="center" vertical="center" wrapText="1"/>
    </xf>
    <xf numFmtId="0" fontId="37" fillId="0" borderId="101" xfId="0" applyFont="1" applyBorder="1" applyAlignment="1">
      <alignment horizontal="center" vertical="center" wrapText="1"/>
    </xf>
    <xf numFmtId="0" fontId="44" fillId="0" borderId="0" xfId="3" applyFont="1" applyAlignment="1">
      <alignment horizontal="center" vertical="center" wrapText="1"/>
    </xf>
    <xf numFmtId="0" fontId="45" fillId="0" borderId="0" xfId="3" applyFont="1" applyAlignment="1">
      <alignment horizontal="center" vertical="center" wrapText="1"/>
    </xf>
    <xf numFmtId="0" fontId="3" fillId="0" borderId="0" xfId="3" applyFont="1" applyAlignment="1">
      <alignment horizontal="center" vertical="center" wrapText="1"/>
    </xf>
    <xf numFmtId="0" fontId="46" fillId="0" borderId="0" xfId="3" applyFont="1" applyAlignment="1">
      <alignment horizontal="center" vertical="center" wrapText="1"/>
    </xf>
    <xf numFmtId="0" fontId="1" fillId="0" borderId="0" xfId="3">
      <alignment vertical="center"/>
    </xf>
    <xf numFmtId="0" fontId="48" fillId="0" borderId="0" xfId="3" applyFont="1" applyAlignment="1">
      <alignment horizontal="center" vertical="center" wrapText="1"/>
    </xf>
    <xf numFmtId="0" fontId="50" fillId="0" borderId="0" xfId="3" applyFont="1" applyAlignment="1">
      <alignment horizontal="left" vertical="center" wrapText="1"/>
    </xf>
    <xf numFmtId="0" fontId="45" fillId="0" borderId="0" xfId="3" applyFont="1" applyAlignment="1">
      <alignment vertical="center" wrapText="1"/>
    </xf>
    <xf numFmtId="187" fontId="33" fillId="0" borderId="172" xfId="0" applyNumberFormat="1" applyFont="1" applyBorder="1" applyAlignment="1">
      <alignment horizontal="center" vertical="center" wrapText="1"/>
    </xf>
    <xf numFmtId="0" fontId="52" fillId="0" borderId="109" xfId="0" applyFont="1" applyBorder="1" applyAlignment="1">
      <alignment horizontal="center" vertical="center" wrapText="1"/>
    </xf>
    <xf numFmtId="0" fontId="52" fillId="0" borderId="110" xfId="0" applyFont="1" applyBorder="1" applyAlignment="1">
      <alignment horizontal="center" vertical="center" wrapText="1"/>
    </xf>
    <xf numFmtId="188" fontId="16" fillId="0" borderId="0" xfId="0" applyNumberFormat="1" applyFont="1" applyAlignment="1">
      <alignment horizontal="center"/>
    </xf>
    <xf numFmtId="188" fontId="0" fillId="0" borderId="0" xfId="0" applyNumberFormat="1"/>
    <xf numFmtId="188" fontId="10" fillId="0" borderId="172" xfId="0" applyNumberFormat="1" applyFont="1" applyBorder="1" applyAlignment="1">
      <alignment horizontal="left" vertical="center" wrapText="1"/>
    </xf>
    <xf numFmtId="187" fontId="10" fillId="0" borderId="7" xfId="0" applyNumberFormat="1" applyFont="1" applyBorder="1" applyAlignment="1">
      <alignment vertical="center" wrapText="1"/>
    </xf>
    <xf numFmtId="187" fontId="10" fillId="0" borderId="124" xfId="0" applyNumberFormat="1" applyFont="1" applyBorder="1" applyAlignment="1">
      <alignment vertical="center" wrapText="1"/>
    </xf>
    <xf numFmtId="0" fontId="55" fillId="0" borderId="0" xfId="4" applyFont="1" applyAlignment="1">
      <alignment vertical="center" shrinkToFit="1"/>
    </xf>
    <xf numFmtId="189" fontId="55" fillId="0" borderId="0" xfId="4" applyNumberFormat="1" applyFont="1" applyAlignment="1">
      <alignment vertical="center" shrinkToFit="1"/>
    </xf>
    <xf numFmtId="189" fontId="55" fillId="0" borderId="19" xfId="4" applyNumberFormat="1" applyFont="1" applyBorder="1" applyAlignment="1">
      <alignment vertical="center" shrinkToFit="1"/>
    </xf>
    <xf numFmtId="0" fontId="57" fillId="0" borderId="138" xfId="4" applyFont="1" applyBorder="1" applyAlignment="1">
      <alignment vertical="center" shrinkToFit="1"/>
    </xf>
    <xf numFmtId="0" fontId="57" fillId="0" borderId="175" xfId="4" applyFont="1" applyBorder="1" applyAlignment="1">
      <alignment vertical="center" shrinkToFit="1"/>
    </xf>
    <xf numFmtId="0" fontId="57" fillId="0" borderId="0" xfId="4" applyFont="1" applyAlignment="1">
      <alignment vertical="center" shrinkToFit="1"/>
    </xf>
    <xf numFmtId="0" fontId="57" fillId="0" borderId="177" xfId="4" applyFont="1" applyBorder="1" applyAlignment="1">
      <alignment vertical="center" shrinkToFit="1"/>
    </xf>
    <xf numFmtId="0" fontId="5" fillId="0" borderId="155" xfId="4" applyFont="1" applyBorder="1" applyAlignment="1">
      <alignment vertical="center" shrinkToFit="1"/>
    </xf>
    <xf numFmtId="0" fontId="5" fillId="0" borderId="19" xfId="4" applyFont="1" applyBorder="1" applyAlignment="1">
      <alignment vertical="center" shrinkToFit="1"/>
    </xf>
    <xf numFmtId="0" fontId="27" fillId="0" borderId="144" xfId="4" applyFont="1" applyBorder="1" applyAlignment="1">
      <alignment vertical="center" shrinkToFit="1"/>
    </xf>
    <xf numFmtId="0" fontId="27" fillId="0" borderId="145" xfId="4" applyFont="1" applyBorder="1" applyAlignment="1">
      <alignment vertical="center" shrinkToFit="1"/>
    </xf>
    <xf numFmtId="0" fontId="38" fillId="0" borderId="72" xfId="0" applyFont="1" applyBorder="1" applyAlignment="1">
      <alignment horizontal="left" vertical="center" wrapText="1"/>
    </xf>
    <xf numFmtId="0" fontId="38" fillId="0" borderId="73" xfId="0" applyFont="1" applyBorder="1" applyAlignment="1">
      <alignment horizontal="left" vertical="center" wrapText="1"/>
    </xf>
    <xf numFmtId="0" fontId="38" fillId="0" borderId="74" xfId="0" applyFont="1" applyBorder="1" applyAlignment="1">
      <alignment horizontal="left" vertical="center" wrapText="1"/>
    </xf>
    <xf numFmtId="0" fontId="16" fillId="0" borderId="0" xfId="0" applyFont="1" applyAlignment="1">
      <alignment horizontal="center" vertical="center"/>
    </xf>
    <xf numFmtId="0" fontId="0" fillId="0" borderId="0" xfId="0" applyAlignment="1">
      <alignment horizontal="center"/>
    </xf>
    <xf numFmtId="0" fontId="34" fillId="0" borderId="0" xfId="0" applyFont="1" applyAlignment="1">
      <alignment horizontal="center"/>
    </xf>
    <xf numFmtId="0" fontId="0" fillId="0" borderId="0" xfId="0" applyAlignment="1">
      <alignment horizontal="left" vertical="top" wrapText="1"/>
    </xf>
    <xf numFmtId="0" fontId="5" fillId="0" borderId="69" xfId="0" applyFont="1" applyBorder="1" applyAlignment="1">
      <alignment horizontal="left" vertical="center" wrapText="1"/>
    </xf>
    <xf numFmtId="0" fontId="5" fillId="0" borderId="70" xfId="0" applyFont="1" applyBorder="1" applyAlignment="1">
      <alignment horizontal="left" vertical="center" wrapText="1"/>
    </xf>
    <xf numFmtId="0" fontId="5" fillId="0" borderId="71" xfId="0" applyFont="1" applyBorder="1" applyAlignment="1">
      <alignment horizontal="left" vertical="center" wrapText="1"/>
    </xf>
    <xf numFmtId="0" fontId="8" fillId="0" borderId="78" xfId="0" applyFont="1" applyBorder="1" applyAlignment="1">
      <alignment horizontal="left" vertical="center" wrapText="1"/>
    </xf>
    <xf numFmtId="0" fontId="8" fillId="0" borderId="79" xfId="0" applyFont="1" applyBorder="1" applyAlignment="1">
      <alignment horizontal="left" vertical="center" wrapText="1"/>
    </xf>
    <xf numFmtId="0" fontId="8" fillId="0" borderId="80" xfId="0" applyFont="1" applyBorder="1" applyAlignment="1">
      <alignment horizontal="left" vertical="center" wrapText="1"/>
    </xf>
    <xf numFmtId="0" fontId="6" fillId="0" borderId="59" xfId="0" applyFont="1" applyBorder="1" applyAlignment="1">
      <alignment horizontal="right" vertical="center" wrapText="1"/>
    </xf>
    <xf numFmtId="0" fontId="6" fillId="0" borderId="60" xfId="0" applyFont="1" applyBorder="1" applyAlignment="1">
      <alignment horizontal="right" vertical="center" wrapText="1"/>
    </xf>
    <xf numFmtId="0" fontId="6" fillId="0" borderId="61" xfId="0" applyFont="1" applyBorder="1" applyAlignment="1">
      <alignment horizontal="right" vertical="center" wrapText="1"/>
    </xf>
    <xf numFmtId="0" fontId="38" fillId="0" borderId="75" xfId="0" applyFont="1" applyBorder="1" applyAlignment="1">
      <alignment horizontal="left" vertical="center" wrapText="1"/>
    </xf>
    <xf numFmtId="0" fontId="38" fillId="0" borderId="76" xfId="0" applyFont="1" applyBorder="1" applyAlignment="1">
      <alignment horizontal="left" vertical="center" wrapText="1"/>
    </xf>
    <xf numFmtId="0" fontId="38" fillId="0" borderId="77" xfId="0" applyFont="1" applyBorder="1" applyAlignment="1">
      <alignment horizontal="left" vertical="center" wrapText="1"/>
    </xf>
    <xf numFmtId="0" fontId="38" fillId="0" borderId="78" xfId="0" applyFont="1" applyBorder="1" applyAlignment="1">
      <alignment horizontal="left" vertical="center" wrapText="1"/>
    </xf>
    <xf numFmtId="0" fontId="38" fillId="0" borderId="79" xfId="0" applyFont="1" applyBorder="1" applyAlignment="1">
      <alignment horizontal="left" vertical="center" wrapText="1"/>
    </xf>
    <xf numFmtId="0" fontId="38" fillId="0" borderId="80" xfId="0" applyFont="1" applyBorder="1" applyAlignment="1">
      <alignment horizontal="left" vertical="center" wrapText="1"/>
    </xf>
    <xf numFmtId="0" fontId="38" fillId="0" borderId="78" xfId="0" applyFont="1" applyBorder="1" applyAlignment="1">
      <alignment horizontal="right" vertical="center" wrapText="1"/>
    </xf>
    <xf numFmtId="0" fontId="38" fillId="0" borderId="79" xfId="0" applyFont="1" applyBorder="1" applyAlignment="1">
      <alignment horizontal="right" vertical="center" wrapText="1"/>
    </xf>
    <xf numFmtId="0" fontId="38" fillId="0" borderId="80" xfId="0" applyFont="1" applyBorder="1" applyAlignment="1">
      <alignment horizontal="right" vertical="center" wrapText="1"/>
    </xf>
    <xf numFmtId="0" fontId="12" fillId="0" borderId="39" xfId="0" applyFont="1" applyBorder="1" applyAlignment="1">
      <alignment horizontal="left" vertical="center" wrapText="1"/>
    </xf>
    <xf numFmtId="0" fontId="12" fillId="0" borderId="40" xfId="0" applyFont="1" applyBorder="1" applyAlignment="1">
      <alignment horizontal="left" vertical="center" wrapText="1"/>
    </xf>
    <xf numFmtId="0" fontId="12" fillId="0" borderId="41" xfId="0" applyFont="1" applyBorder="1" applyAlignment="1">
      <alignment horizontal="left" vertical="center" wrapText="1"/>
    </xf>
    <xf numFmtId="0" fontId="6" fillId="0" borderId="27" xfId="0" applyFont="1" applyBorder="1" applyAlignment="1">
      <alignment horizontal="left" vertical="center" wrapText="1"/>
    </xf>
    <xf numFmtId="0" fontId="6" fillId="0" borderId="28" xfId="0" applyFont="1" applyBorder="1" applyAlignment="1">
      <alignment horizontal="left" vertical="center" wrapText="1"/>
    </xf>
    <xf numFmtId="0" fontId="6" fillId="0" borderId="42" xfId="0" applyFont="1" applyBorder="1" applyAlignment="1">
      <alignment horizontal="left" vertical="center" wrapText="1"/>
    </xf>
    <xf numFmtId="0" fontId="11" fillId="0" borderId="33" xfId="0" applyFont="1" applyBorder="1" applyAlignment="1">
      <alignment horizontal="center" vertical="center" wrapText="1"/>
    </xf>
    <xf numFmtId="0" fontId="11" fillId="0" borderId="34" xfId="0" applyFont="1" applyBorder="1" applyAlignment="1">
      <alignment horizontal="center" vertical="center" wrapText="1"/>
    </xf>
    <xf numFmtId="0" fontId="11" fillId="0" borderId="35"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21"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38"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1" xfId="0" applyFont="1" applyBorder="1" applyAlignment="1">
      <alignment horizontal="center" vertical="center" wrapText="1"/>
    </xf>
    <xf numFmtId="0" fontId="8" fillId="0" borderId="27" xfId="0" applyFont="1" applyBorder="1" applyAlignment="1">
      <alignment horizontal="left" vertical="center" wrapText="1"/>
    </xf>
    <xf numFmtId="0" fontId="8" fillId="0" borderId="28" xfId="0" applyFont="1" applyBorder="1" applyAlignment="1">
      <alignment horizontal="left" vertical="center" wrapText="1"/>
    </xf>
    <xf numFmtId="0" fontId="8" fillId="0" borderId="42" xfId="0" applyFont="1" applyBorder="1" applyAlignment="1">
      <alignment horizontal="left" vertical="center" wrapText="1"/>
    </xf>
    <xf numFmtId="0" fontId="37" fillId="0" borderId="43" xfId="0" applyFont="1" applyBorder="1" applyAlignment="1">
      <alignment horizontal="center" vertical="center" wrapText="1"/>
    </xf>
    <xf numFmtId="0" fontId="37" fillId="0" borderId="44" xfId="0" applyFont="1" applyBorder="1" applyAlignment="1">
      <alignment horizontal="center" vertical="center" wrapText="1"/>
    </xf>
    <xf numFmtId="0" fontId="12" fillId="0" borderId="31" xfId="0" applyFont="1" applyBorder="1" applyAlignment="1">
      <alignment horizontal="center" vertical="center" wrapText="1"/>
    </xf>
    <xf numFmtId="0" fontId="37" fillId="0" borderId="45" xfId="0" applyFont="1" applyBorder="1" applyAlignment="1">
      <alignment horizontal="center" vertical="center" wrapText="1"/>
    </xf>
    <xf numFmtId="0" fontId="6" fillId="0" borderId="46" xfId="0" applyFont="1" applyBorder="1" applyAlignment="1">
      <alignment horizontal="left" vertical="center" wrapText="1"/>
    </xf>
    <xf numFmtId="0" fontId="14" fillId="0" borderId="27" xfId="0" applyFont="1" applyBorder="1" applyAlignment="1">
      <alignment horizontal="justify" vertical="center" wrapText="1"/>
    </xf>
    <xf numFmtId="0" fontId="14" fillId="0" borderId="46" xfId="0" applyFont="1" applyBorder="1" applyAlignment="1">
      <alignment horizontal="justify" vertical="center" wrapText="1"/>
    </xf>
    <xf numFmtId="0" fontId="12" fillId="0" borderId="39" xfId="0" applyFont="1" applyBorder="1" applyAlignment="1">
      <alignment horizontal="justify" vertical="center" wrapText="1"/>
    </xf>
    <xf numFmtId="0" fontId="12" fillId="0" borderId="45" xfId="0" applyFont="1" applyBorder="1" applyAlignment="1">
      <alignment horizontal="justify" vertical="center" wrapText="1"/>
    </xf>
    <xf numFmtId="0" fontId="6" fillId="0" borderId="39" xfId="0" applyFont="1" applyBorder="1" applyAlignment="1">
      <alignment horizontal="center" vertical="center" wrapText="1"/>
    </xf>
    <xf numFmtId="0" fontId="6" fillId="0" borderId="45"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23" xfId="0" applyFont="1" applyBorder="1" applyAlignment="1">
      <alignment horizontal="center" vertical="center" wrapText="1"/>
    </xf>
    <xf numFmtId="0" fontId="14" fillId="0" borderId="38" xfId="0" applyFont="1" applyBorder="1" applyAlignment="1">
      <alignment horizontal="center" vertical="center" wrapText="1"/>
    </xf>
    <xf numFmtId="0" fontId="13" fillId="0" borderId="27" xfId="0" applyFont="1" applyBorder="1" applyAlignment="1">
      <alignment horizontal="justify" vertical="center" wrapText="1"/>
    </xf>
    <xf numFmtId="0" fontId="13" fillId="0" borderId="28" xfId="0" applyFont="1" applyBorder="1" applyAlignment="1">
      <alignment horizontal="justify" vertical="center" wrapText="1"/>
    </xf>
    <xf numFmtId="0" fontId="13" fillId="0" borderId="42" xfId="0" applyFont="1" applyBorder="1" applyAlignment="1">
      <alignment horizontal="justify" vertical="center" wrapText="1"/>
    </xf>
    <xf numFmtId="0" fontId="14" fillId="0" borderId="31" xfId="0" applyFont="1" applyBorder="1" applyAlignment="1">
      <alignment horizontal="center" vertical="center" wrapText="1"/>
    </xf>
    <xf numFmtId="0" fontId="6" fillId="0" borderId="40" xfId="0" applyFont="1" applyBorder="1" applyAlignment="1">
      <alignment horizontal="center" vertical="center" wrapText="1"/>
    </xf>
    <xf numFmtId="0" fontId="6" fillId="0" borderId="41" xfId="0" applyFont="1" applyBorder="1" applyAlignment="1">
      <alignment horizontal="center" vertical="center" wrapText="1"/>
    </xf>
    <xf numFmtId="0" fontId="13" fillId="0" borderId="39" xfId="0" applyFont="1" applyBorder="1" applyAlignment="1">
      <alignment horizontal="justify" vertical="center" wrapText="1"/>
    </xf>
    <xf numFmtId="0" fontId="13" fillId="0" borderId="40" xfId="0" applyFont="1" applyBorder="1" applyAlignment="1">
      <alignment horizontal="justify" vertical="center" wrapText="1"/>
    </xf>
    <xf numFmtId="0" fontId="13" fillId="0" borderId="41" xfId="0" applyFont="1" applyBorder="1" applyAlignment="1">
      <alignment horizontal="justify" vertical="center" wrapText="1"/>
    </xf>
    <xf numFmtId="0" fontId="8" fillId="0" borderId="10"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6" fillId="0" borderId="114" xfId="0" applyFont="1" applyBorder="1" applyAlignment="1">
      <alignment horizontal="center" vertical="center" wrapText="1"/>
    </xf>
    <xf numFmtId="0" fontId="6" fillId="0" borderId="115" xfId="0" applyFont="1" applyBorder="1" applyAlignment="1">
      <alignment horizontal="center" vertical="center" wrapText="1"/>
    </xf>
    <xf numFmtId="0" fontId="6" fillId="0" borderId="116" xfId="0" applyFont="1" applyBorder="1" applyAlignment="1">
      <alignment horizontal="center" vertical="center" wrapText="1"/>
    </xf>
    <xf numFmtId="0" fontId="3" fillId="0" borderId="157" xfId="0" applyFont="1" applyBorder="1" applyAlignment="1">
      <alignment horizontal="center" vertical="center"/>
    </xf>
    <xf numFmtId="0" fontId="3" fillId="0" borderId="139" xfId="0" applyFont="1" applyBorder="1" applyAlignment="1">
      <alignment horizontal="center" vertical="center"/>
    </xf>
    <xf numFmtId="0" fontId="3" fillId="0" borderId="159" xfId="0" applyFont="1" applyBorder="1" applyAlignment="1">
      <alignment horizontal="center" vertical="center"/>
    </xf>
    <xf numFmtId="0" fontId="3" fillId="0" borderId="11" xfId="0" applyFont="1" applyBorder="1" applyAlignment="1">
      <alignment horizontal="center" vertical="center"/>
    </xf>
    <xf numFmtId="0" fontId="3" fillId="0" borderId="90" xfId="0" applyFont="1" applyBorder="1" applyAlignment="1">
      <alignment horizontal="center" vertical="center"/>
    </xf>
    <xf numFmtId="0" fontId="3" fillId="0" borderId="12" xfId="0" applyFont="1" applyBorder="1" applyAlignment="1">
      <alignment horizontal="center" vertical="center"/>
    </xf>
    <xf numFmtId="0" fontId="3" fillId="0" borderId="172" xfId="0" applyFont="1" applyBorder="1" applyAlignment="1">
      <alignment horizontal="left" vertical="center" wrapText="1"/>
    </xf>
    <xf numFmtId="0" fontId="35" fillId="0" borderId="0" xfId="0" applyFont="1" applyAlignment="1">
      <alignment horizontal="center" vertical="center" wrapText="1"/>
    </xf>
    <xf numFmtId="0" fontId="0" fillId="0" borderId="99" xfId="0" applyBorder="1" applyAlignment="1">
      <alignment horizontal="center" vertical="center" wrapText="1"/>
    </xf>
    <xf numFmtId="0" fontId="0" fillId="0" borderId="100" xfId="0" applyBorder="1" applyAlignment="1">
      <alignment horizontal="center" vertical="center" wrapText="1"/>
    </xf>
    <xf numFmtId="0" fontId="17" fillId="0" borderId="106" xfId="0" applyFont="1" applyBorder="1" applyAlignment="1">
      <alignment horizontal="center" vertical="center" wrapText="1"/>
    </xf>
    <xf numFmtId="0" fontId="17" fillId="0" borderId="99" xfId="0" applyFont="1" applyBorder="1" applyAlignment="1">
      <alignment horizontal="center" vertical="center" wrapText="1"/>
    </xf>
    <xf numFmtId="0" fontId="17" fillId="0" borderId="100" xfId="0" applyFont="1" applyBorder="1" applyAlignment="1">
      <alignment horizontal="center" vertical="center" wrapText="1"/>
    </xf>
    <xf numFmtId="0" fontId="61" fillId="0" borderId="84" xfId="0" applyFont="1" applyBorder="1" applyAlignment="1">
      <alignment horizontal="center" vertical="center" wrapText="1"/>
    </xf>
    <xf numFmtId="0" fontId="61" fillId="0" borderId="97" xfId="0" applyFont="1" applyBorder="1" applyAlignment="1">
      <alignment horizontal="center" vertical="center" wrapText="1"/>
    </xf>
    <xf numFmtId="0" fontId="61" fillId="0" borderId="87" xfId="0" applyFont="1" applyBorder="1" applyAlignment="1">
      <alignment horizontal="center" vertical="center" wrapText="1"/>
    </xf>
    <xf numFmtId="0" fontId="61" fillId="0" borderId="98" xfId="0" applyFont="1" applyBorder="1" applyAlignment="1">
      <alignment horizontal="center" vertical="center" wrapText="1"/>
    </xf>
    <xf numFmtId="0" fontId="7" fillId="0" borderId="5" xfId="0" applyFont="1" applyBorder="1" applyAlignment="1">
      <alignment horizontal="center" vertical="center" wrapText="1"/>
    </xf>
    <xf numFmtId="0" fontId="7" fillId="0" borderId="89" xfId="0" applyFont="1" applyBorder="1" applyAlignment="1">
      <alignment horizontal="center" vertical="center" wrapText="1"/>
    </xf>
    <xf numFmtId="0" fontId="7" fillId="0" borderId="0" xfId="0" applyFont="1" applyAlignment="1">
      <alignment horizontal="center" vertical="center" wrapText="1"/>
    </xf>
    <xf numFmtId="0" fontId="7" fillId="0" borderId="11" xfId="0" applyFont="1" applyBorder="1" applyAlignment="1">
      <alignment horizontal="center" vertical="center" wrapText="1"/>
    </xf>
    <xf numFmtId="0" fontId="7" fillId="0" borderId="47" xfId="0" applyFont="1" applyBorder="1" applyAlignment="1">
      <alignment horizontal="center" vertical="center" wrapText="1"/>
    </xf>
    <xf numFmtId="0" fontId="7" fillId="0" borderId="93" xfId="0" applyFont="1" applyBorder="1" applyAlignment="1">
      <alignment horizontal="center" vertical="center" wrapText="1"/>
    </xf>
    <xf numFmtId="0" fontId="8" fillId="0" borderId="83" xfId="0" applyFont="1" applyBorder="1" applyAlignment="1">
      <alignment horizontal="center" vertical="center" wrapText="1"/>
    </xf>
    <xf numFmtId="0" fontId="8" fillId="0" borderId="92" xfId="0" applyFont="1" applyBorder="1" applyAlignment="1">
      <alignment horizontal="center" vertical="center" wrapText="1"/>
    </xf>
    <xf numFmtId="0" fontId="8" fillId="0" borderId="0" xfId="0" applyFont="1" applyAlignment="1">
      <alignment horizontal="center" vertical="center" wrapText="1"/>
    </xf>
    <xf numFmtId="0" fontId="8" fillId="0" borderId="11" xfId="0" applyFont="1" applyBorder="1" applyAlignment="1">
      <alignment horizontal="center" vertical="center" wrapText="1"/>
    </xf>
    <xf numFmtId="0" fontId="8" fillId="0" borderId="4" xfId="0" applyFont="1" applyBorder="1" applyAlignment="1">
      <alignment horizontal="center" vertical="center" wrapText="1"/>
    </xf>
    <xf numFmtId="0" fontId="8" fillId="0" borderId="91" xfId="0" applyFont="1" applyBorder="1" applyAlignment="1">
      <alignment horizontal="center" vertical="center" wrapText="1"/>
    </xf>
    <xf numFmtId="0" fontId="7" fillId="0" borderId="84" xfId="0" applyFont="1" applyBorder="1" applyAlignment="1">
      <alignment horizontal="center" vertical="center" wrapText="1"/>
    </xf>
    <xf numFmtId="0" fontId="7" fillId="0" borderId="97" xfId="0" applyFont="1" applyBorder="1" applyAlignment="1">
      <alignment horizontal="center" vertical="center" wrapText="1"/>
    </xf>
    <xf numFmtId="0" fontId="5" fillId="0" borderId="87" xfId="0" applyFont="1" applyBorder="1" applyAlignment="1">
      <alignment horizontal="center" vertical="center" wrapText="1"/>
    </xf>
    <xf numFmtId="0" fontId="5" fillId="0" borderId="98" xfId="0" applyFont="1" applyBorder="1" applyAlignment="1">
      <alignment horizontal="center" vertical="center" wrapText="1"/>
    </xf>
    <xf numFmtId="0" fontId="7" fillId="0" borderId="87" xfId="0" applyFont="1" applyBorder="1" applyAlignment="1">
      <alignment horizontal="center" vertical="center" wrapText="1"/>
    </xf>
    <xf numFmtId="0" fontId="7" fillId="0" borderId="98" xfId="0" applyFont="1" applyBorder="1" applyAlignment="1">
      <alignment horizontal="center" vertical="center" wrapText="1"/>
    </xf>
    <xf numFmtId="0" fontId="7" fillId="0" borderId="87" xfId="0" applyFont="1" applyBorder="1" applyAlignment="1">
      <alignment horizontal="justify" vertical="center" wrapText="1"/>
    </xf>
    <xf numFmtId="0" fontId="7" fillId="0" borderId="98" xfId="0" applyFont="1" applyBorder="1" applyAlignment="1">
      <alignment horizontal="justify" vertical="center" wrapText="1"/>
    </xf>
    <xf numFmtId="0" fontId="4" fillId="0" borderId="0" xfId="0" applyFont="1" applyAlignment="1">
      <alignment horizontal="center"/>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20"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07" xfId="0" applyFont="1" applyBorder="1" applyAlignment="1">
      <alignment horizontal="center" vertical="center"/>
    </xf>
    <xf numFmtId="176" fontId="36" fillId="0" borderId="8" xfId="0" applyNumberFormat="1" applyFont="1" applyBorder="1" applyAlignment="1">
      <alignment horizontal="center" vertical="center"/>
    </xf>
    <xf numFmtId="176" fontId="36" fillId="0" borderId="94" xfId="0" applyNumberFormat="1" applyFont="1" applyBorder="1" applyAlignment="1">
      <alignment horizontal="center" vertical="center"/>
    </xf>
    <xf numFmtId="176" fontId="36" fillId="0" borderId="14" xfId="0" applyNumberFormat="1" applyFont="1" applyBorder="1" applyAlignment="1">
      <alignment horizontal="center" vertical="center"/>
    </xf>
    <xf numFmtId="0" fontId="10" fillId="0" borderId="0" xfId="0" applyFont="1" applyAlignment="1">
      <alignment horizontal="center" vertical="center"/>
    </xf>
    <xf numFmtId="0" fontId="3" fillId="0" borderId="88" xfId="0" applyFont="1" applyBorder="1" applyAlignment="1">
      <alignment horizontal="center" vertical="center"/>
    </xf>
    <xf numFmtId="0" fontId="3" fillId="0" borderId="89" xfId="0" applyFont="1" applyBorder="1" applyAlignment="1">
      <alignment horizontal="center" vertical="center"/>
    </xf>
    <xf numFmtId="0" fontId="3" fillId="0" borderId="174" xfId="0" applyFont="1" applyBorder="1" applyAlignment="1">
      <alignment horizontal="center" vertical="center"/>
    </xf>
    <xf numFmtId="0" fontId="3" fillId="0" borderId="169" xfId="0" applyFont="1" applyBorder="1" applyAlignment="1">
      <alignment horizontal="center" vertical="center"/>
    </xf>
    <xf numFmtId="0" fontId="3" fillId="0" borderId="17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6" fillId="0" borderId="16" xfId="0" applyFont="1" applyBorder="1" applyAlignment="1">
      <alignment horizontal="center" vertical="center" wrapText="1"/>
    </xf>
    <xf numFmtId="0" fontId="6" fillId="0" borderId="15" xfId="0" applyFont="1" applyBorder="1" applyAlignment="1">
      <alignment horizontal="center" vertical="center" wrapText="1"/>
    </xf>
    <xf numFmtId="0" fontId="37" fillId="0" borderId="16" xfId="0" applyFont="1" applyBorder="1" applyAlignment="1">
      <alignment horizontal="center" vertical="center" wrapText="1"/>
    </xf>
    <xf numFmtId="0" fontId="37" fillId="0" borderId="15" xfId="0" applyFont="1" applyBorder="1" applyAlignment="1">
      <alignment horizontal="center" vertical="center" wrapText="1"/>
    </xf>
    <xf numFmtId="0" fontId="6" fillId="0" borderId="10" xfId="0" applyFont="1" applyBorder="1" applyAlignment="1">
      <alignment horizontal="center" vertical="center" wrapText="1"/>
    </xf>
    <xf numFmtId="0" fontId="8" fillId="0" borderId="19" xfId="0" applyFont="1" applyBorder="1" applyAlignment="1">
      <alignment horizontal="center" vertical="center" wrapText="1"/>
    </xf>
    <xf numFmtId="0" fontId="8" fillId="0" borderId="12" xfId="0" applyFont="1" applyBorder="1" applyAlignment="1">
      <alignment horizontal="center" vertical="center" wrapText="1"/>
    </xf>
    <xf numFmtId="0" fontId="6" fillId="0" borderId="87" xfId="0" applyFont="1" applyBorder="1" applyAlignment="1">
      <alignment horizontal="center" vertical="center" wrapText="1"/>
    </xf>
    <xf numFmtId="0" fontId="6" fillId="0" borderId="98" xfId="0" applyFont="1" applyBorder="1" applyAlignment="1">
      <alignment horizontal="center" vertical="center" wrapText="1"/>
    </xf>
    <xf numFmtId="0" fontId="3" fillId="0" borderId="170" xfId="0" applyFont="1" applyBorder="1" applyAlignment="1">
      <alignment horizontal="center" vertical="center"/>
    </xf>
    <xf numFmtId="0" fontId="3" fillId="0" borderId="173" xfId="0" applyFont="1" applyBorder="1" applyAlignment="1">
      <alignment horizontal="center" vertical="center"/>
    </xf>
    <xf numFmtId="0" fontId="3" fillId="0" borderId="10"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7" fillId="0" borderId="112" xfId="0" applyFont="1" applyBorder="1" applyAlignment="1">
      <alignment horizontal="center" vertical="center" wrapText="1"/>
    </xf>
    <xf numFmtId="0" fontId="7" fillId="0" borderId="108" xfId="0" applyFont="1" applyBorder="1" applyAlignment="1">
      <alignment horizontal="center" vertical="center" wrapText="1"/>
    </xf>
    <xf numFmtId="0" fontId="7" fillId="0" borderId="113" xfId="0" applyFont="1" applyBorder="1" applyAlignment="1">
      <alignment horizontal="center" vertical="center" wrapText="1"/>
    </xf>
    <xf numFmtId="0" fontId="10" fillId="0" borderId="0" xfId="0" applyFont="1" applyAlignment="1">
      <alignment horizontal="left" vertical="center" wrapText="1"/>
    </xf>
    <xf numFmtId="0" fontId="7" fillId="0" borderId="83" xfId="0" applyFont="1" applyBorder="1" applyAlignment="1">
      <alignment horizontal="center" vertical="center" wrapText="1"/>
    </xf>
    <xf numFmtId="0" fontId="3" fillId="0" borderId="131" xfId="0" applyFont="1" applyBorder="1" applyAlignment="1">
      <alignment vertical="center"/>
    </xf>
    <xf numFmtId="0" fontId="0" fillId="0" borderId="132" xfId="0" applyBorder="1" applyAlignment="1">
      <alignment vertical="center"/>
    </xf>
    <xf numFmtId="0" fontId="0" fillId="0" borderId="120" xfId="0" applyBorder="1" applyAlignment="1">
      <alignment vertical="center"/>
    </xf>
    <xf numFmtId="0" fontId="3" fillId="0" borderId="131" xfId="0" applyFont="1" applyBorder="1" applyAlignment="1">
      <alignment horizontal="left" vertical="center"/>
    </xf>
    <xf numFmtId="0" fontId="3" fillId="0" borderId="132" xfId="0" applyFont="1" applyBorder="1" applyAlignment="1">
      <alignment horizontal="left" vertical="center"/>
    </xf>
    <xf numFmtId="0" fontId="3" fillId="0" borderId="120" xfId="0" applyFont="1" applyBorder="1" applyAlignment="1">
      <alignment horizontal="left" vertical="center"/>
    </xf>
    <xf numFmtId="0" fontId="36" fillId="0" borderId="20" xfId="0" applyFont="1" applyBorder="1" applyAlignment="1">
      <alignment horizontal="center" vertical="center"/>
    </xf>
    <xf numFmtId="0" fontId="36" fillId="0" borderId="135" xfId="0" applyFont="1" applyBorder="1" applyAlignment="1">
      <alignment horizontal="center" vertical="center"/>
    </xf>
    <xf numFmtId="58" fontId="3" fillId="0" borderId="0" xfId="0" applyNumberFormat="1" applyFont="1" applyAlignment="1">
      <alignment horizontal="right"/>
    </xf>
    <xf numFmtId="0" fontId="3" fillId="0" borderId="4" xfId="0" applyFont="1" applyBorder="1" applyAlignment="1">
      <alignment horizontal="right" vertical="center"/>
    </xf>
    <xf numFmtId="0" fontId="3" fillId="0" borderId="118" xfId="0" applyFont="1" applyBorder="1" applyAlignment="1">
      <alignment horizontal="center" vertical="center"/>
    </xf>
    <xf numFmtId="0" fontId="0" fillId="0" borderId="120" xfId="0" applyBorder="1" applyAlignment="1">
      <alignment horizontal="center"/>
    </xf>
    <xf numFmtId="0" fontId="3" fillId="0" borderId="8" xfId="0" applyFont="1" applyBorder="1" applyAlignment="1">
      <alignment horizontal="center" vertical="center"/>
    </xf>
    <xf numFmtId="0" fontId="0" fillId="0" borderId="121" xfId="0" applyBorder="1" applyAlignment="1">
      <alignment horizontal="center" vertical="center"/>
    </xf>
    <xf numFmtId="0" fontId="3" fillId="0" borderId="121" xfId="0" applyFont="1" applyBorder="1" applyAlignment="1">
      <alignment horizontal="center" vertical="center"/>
    </xf>
    <xf numFmtId="55" fontId="3" fillId="0" borderId="8" xfId="0" applyNumberFormat="1" applyFont="1" applyBorder="1" applyAlignment="1">
      <alignment horizontal="center" vertical="center"/>
    </xf>
    <xf numFmtId="55" fontId="0" fillId="0" borderId="121" xfId="0" applyNumberFormat="1" applyBorder="1" applyAlignment="1">
      <alignment horizontal="center" vertical="center"/>
    </xf>
    <xf numFmtId="0" fontId="3" fillId="0" borderId="119" xfId="0" applyFont="1" applyBorder="1" applyAlignment="1">
      <alignment horizontal="center" vertical="center" wrapText="1"/>
    </xf>
    <xf numFmtId="0" fontId="0" fillId="0" borderId="113" xfId="0" applyBorder="1" applyAlignment="1">
      <alignment horizontal="center" vertical="center" wrapText="1"/>
    </xf>
    <xf numFmtId="0" fontId="3" fillId="0" borderId="123" xfId="0" quotePrefix="1" applyFont="1" applyBorder="1" applyAlignment="1">
      <alignment horizontal="center" vertical="center"/>
    </xf>
    <xf numFmtId="0" fontId="3" fillId="0" borderId="7" xfId="0" quotePrefix="1" applyFont="1" applyBorder="1" applyAlignment="1">
      <alignment horizontal="center" vertical="center"/>
    </xf>
    <xf numFmtId="0" fontId="3" fillId="0" borderId="167" xfId="0" quotePrefix="1" applyFont="1" applyBorder="1" applyAlignment="1">
      <alignment horizontal="center" vertical="center"/>
    </xf>
    <xf numFmtId="0" fontId="3" fillId="0" borderId="10" xfId="0" applyFont="1" applyBorder="1" applyAlignment="1">
      <alignment horizontal="center"/>
    </xf>
    <xf numFmtId="0" fontId="3" fillId="0" borderId="16" xfId="0" applyFont="1" applyBorder="1" applyAlignment="1">
      <alignment horizontal="center"/>
    </xf>
    <xf numFmtId="0" fontId="3" fillId="0" borderId="15" xfId="0" applyFont="1" applyBorder="1" applyAlignment="1">
      <alignment horizontal="center"/>
    </xf>
    <xf numFmtId="0" fontId="36" fillId="0" borderId="10" xfId="0" applyFont="1" applyBorder="1" applyAlignment="1">
      <alignment horizontal="center"/>
    </xf>
    <xf numFmtId="0" fontId="36" fillId="0" borderId="16" xfId="0" applyFont="1" applyBorder="1" applyAlignment="1">
      <alignment horizontal="center"/>
    </xf>
    <xf numFmtId="0" fontId="36" fillId="0" borderId="15" xfId="0" applyFont="1" applyBorder="1" applyAlignment="1">
      <alignment horizontal="center"/>
    </xf>
    <xf numFmtId="0" fontId="5" fillId="0" borderId="138" xfId="0" applyFont="1" applyBorder="1" applyAlignment="1">
      <alignment horizontal="right"/>
    </xf>
    <xf numFmtId="0" fontId="3" fillId="0" borderId="137" xfId="0" applyFont="1" applyBorder="1" applyAlignment="1">
      <alignment horizontal="center" vertical="center"/>
    </xf>
    <xf numFmtId="0" fontId="3" fillId="0" borderId="138" xfId="0" applyFont="1" applyBorder="1" applyAlignment="1">
      <alignment horizontal="center" vertical="center"/>
    </xf>
    <xf numFmtId="0" fontId="36" fillId="0" borderId="137" xfId="0" applyFont="1" applyBorder="1" applyAlignment="1">
      <alignment horizontal="center" vertical="center"/>
    </xf>
    <xf numFmtId="0" fontId="36" fillId="0" borderId="138" xfId="0" applyFont="1" applyBorder="1" applyAlignment="1">
      <alignment horizontal="center" vertical="center"/>
    </xf>
    <xf numFmtId="0" fontId="36" fillId="0" borderId="139"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12" xfId="0" applyFont="1" applyBorder="1" applyAlignment="1">
      <alignment horizontal="center" vertical="center"/>
    </xf>
    <xf numFmtId="176" fontId="3" fillId="0" borderId="137" xfId="0" applyNumberFormat="1" applyFont="1" applyBorder="1" applyAlignment="1">
      <alignment horizontal="center"/>
    </xf>
    <xf numFmtId="176" fontId="3" fillId="0" borderId="138" xfId="0" applyNumberFormat="1" applyFont="1" applyBorder="1" applyAlignment="1">
      <alignment horizontal="center"/>
    </xf>
    <xf numFmtId="176" fontId="3" fillId="0" borderId="139" xfId="0" applyNumberFormat="1" applyFont="1" applyBorder="1" applyAlignment="1">
      <alignment horizontal="center"/>
    </xf>
    <xf numFmtId="176" fontId="3" fillId="0" borderId="18" xfId="0" applyNumberFormat="1" applyFont="1" applyBorder="1" applyAlignment="1">
      <alignment horizontal="center"/>
    </xf>
    <xf numFmtId="176" fontId="3" fillId="0" borderId="19" xfId="0" applyNumberFormat="1" applyFont="1" applyBorder="1" applyAlignment="1">
      <alignment horizontal="center"/>
    </xf>
    <xf numFmtId="176" fontId="3" fillId="0" borderId="12" xfId="0" applyNumberFormat="1" applyFont="1" applyBorder="1" applyAlignment="1">
      <alignment horizontal="center"/>
    </xf>
    <xf numFmtId="0" fontId="3" fillId="0" borderId="137" xfId="0" applyFont="1" applyBorder="1" applyAlignment="1">
      <alignment horizontal="center"/>
    </xf>
    <xf numFmtId="0" fontId="3" fillId="0" borderId="138" xfId="0" applyFont="1" applyBorder="1" applyAlignment="1">
      <alignment horizontal="center"/>
    </xf>
    <xf numFmtId="0" fontId="3" fillId="0" borderId="139"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8" xfId="0" quotePrefix="1" applyFont="1" applyBorder="1" applyAlignment="1">
      <alignment horizontal="center"/>
    </xf>
    <xf numFmtId="176" fontId="3" fillId="0" borderId="137" xfId="0" quotePrefix="1" applyNumberFormat="1" applyFont="1" applyBorder="1" applyAlignment="1">
      <alignment horizontal="center"/>
    </xf>
    <xf numFmtId="176" fontId="3" fillId="0" borderId="138" xfId="0" quotePrefix="1" applyNumberFormat="1" applyFont="1" applyBorder="1" applyAlignment="1">
      <alignment horizontal="center"/>
    </xf>
    <xf numFmtId="176" fontId="3" fillId="0" borderId="139" xfId="0" quotePrefix="1" applyNumberFormat="1" applyFont="1" applyBorder="1" applyAlignment="1">
      <alignment horizontal="center"/>
    </xf>
    <xf numFmtId="176" fontId="3" fillId="0" borderId="18" xfId="0" quotePrefix="1" applyNumberFormat="1" applyFont="1" applyBorder="1" applyAlignment="1">
      <alignment horizontal="center"/>
    </xf>
    <xf numFmtId="176" fontId="3" fillId="0" borderId="19" xfId="0" quotePrefix="1" applyNumberFormat="1" applyFont="1" applyBorder="1" applyAlignment="1">
      <alignment horizontal="center"/>
    </xf>
    <xf numFmtId="176" fontId="3" fillId="0" borderId="12" xfId="0" quotePrefix="1" applyNumberFormat="1" applyFont="1" applyBorder="1" applyAlignment="1">
      <alignment horizontal="center"/>
    </xf>
    <xf numFmtId="0" fontId="3" fillId="0" borderId="154" xfId="0" applyFont="1" applyBorder="1" applyAlignment="1">
      <alignment horizontal="left"/>
    </xf>
    <xf numFmtId="0" fontId="3" fillId="0" borderId="155" xfId="0" applyFont="1" applyBorder="1" applyAlignment="1">
      <alignment horizontal="left"/>
    </xf>
    <xf numFmtId="0" fontId="3" fillId="0" borderId="156" xfId="0" applyFont="1" applyBorder="1" applyAlignment="1">
      <alignment horizontal="left"/>
    </xf>
    <xf numFmtId="180" fontId="3" fillId="0" borderId="151" xfId="0" quotePrefix="1" applyNumberFormat="1" applyFont="1" applyBorder="1" applyAlignment="1">
      <alignment horizontal="center"/>
    </xf>
    <xf numFmtId="180" fontId="3" fillId="0" borderId="152" xfId="0" quotePrefix="1" applyNumberFormat="1" applyFont="1" applyBorder="1" applyAlignment="1">
      <alignment horizontal="center"/>
    </xf>
    <xf numFmtId="180" fontId="3" fillId="0" borderId="153" xfId="0" quotePrefix="1" applyNumberFormat="1" applyFont="1" applyBorder="1" applyAlignment="1">
      <alignment horizontal="center"/>
    </xf>
    <xf numFmtId="180" fontId="3" fillId="0" borderId="151" xfId="0" applyNumberFormat="1" applyFont="1" applyBorder="1" applyAlignment="1">
      <alignment horizontal="center"/>
    </xf>
    <xf numFmtId="180" fontId="3" fillId="0" borderId="152" xfId="0" applyNumberFormat="1" applyFont="1" applyBorder="1" applyAlignment="1">
      <alignment horizontal="center"/>
    </xf>
    <xf numFmtId="180" fontId="3" fillId="0" borderId="153" xfId="0" applyNumberFormat="1" applyFont="1" applyBorder="1" applyAlignment="1">
      <alignment horizontal="center"/>
    </xf>
    <xf numFmtId="0" fontId="3" fillId="0" borderId="135" xfId="0" applyFont="1" applyBorder="1" applyAlignment="1">
      <alignment horizontal="center" vertical="top"/>
    </xf>
    <xf numFmtId="0" fontId="3" fillId="0" borderId="0" xfId="0" applyFont="1" applyAlignment="1">
      <alignment horizontal="center" vertical="top"/>
    </xf>
    <xf numFmtId="0" fontId="3" fillId="0" borderId="11" xfId="0" applyFont="1" applyBorder="1" applyAlignment="1">
      <alignment horizontal="center" vertical="top"/>
    </xf>
    <xf numFmtId="0" fontId="3" fillId="0" borderId="18" xfId="0" applyFont="1" applyBorder="1" applyAlignment="1">
      <alignment horizontal="center" vertical="top"/>
    </xf>
    <xf numFmtId="0" fontId="3" fillId="0" borderId="19" xfId="0" applyFont="1" applyBorder="1" applyAlignment="1">
      <alignment horizontal="center" vertical="top"/>
    </xf>
    <xf numFmtId="0" fontId="3" fillId="0" borderId="12" xfId="0" applyFont="1" applyBorder="1" applyAlignment="1">
      <alignment horizontal="center" vertical="top"/>
    </xf>
    <xf numFmtId="0" fontId="3" fillId="0" borderId="154" xfId="0" applyFont="1" applyBorder="1" applyAlignment="1">
      <alignment horizontal="center" vertical="top"/>
    </xf>
    <xf numFmtId="0" fontId="3" fillId="0" borderId="155" xfId="0" applyFont="1" applyBorder="1" applyAlignment="1">
      <alignment horizontal="center" vertical="top"/>
    </xf>
    <xf numFmtId="0" fontId="3" fillId="0" borderId="156" xfId="0" applyFont="1" applyBorder="1" applyAlignment="1">
      <alignment horizontal="center" vertical="top"/>
    </xf>
    <xf numFmtId="0" fontId="3" fillId="0" borderId="151" xfId="0" applyFont="1" applyBorder="1" applyAlignment="1">
      <alignment horizontal="center" vertical="top"/>
    </xf>
    <xf numFmtId="0" fontId="3" fillId="0" borderId="152" xfId="0" applyFont="1" applyBorder="1" applyAlignment="1">
      <alignment horizontal="center" vertical="top"/>
    </xf>
    <xf numFmtId="0" fontId="3" fillId="0" borderId="153" xfId="0" applyFont="1" applyBorder="1" applyAlignment="1">
      <alignment horizontal="center" vertical="top"/>
    </xf>
    <xf numFmtId="0" fontId="3" fillId="0" borderId="135" xfId="0" applyFont="1" applyBorder="1" applyAlignment="1">
      <alignment horizontal="left"/>
    </xf>
    <xf numFmtId="0" fontId="3" fillId="0" borderId="0" xfId="0" applyFont="1" applyAlignment="1">
      <alignment horizontal="left"/>
    </xf>
    <xf numFmtId="0" fontId="3" fillId="0" borderId="11" xfId="0" applyFont="1" applyBorder="1" applyAlignment="1">
      <alignment horizontal="left"/>
    </xf>
    <xf numFmtId="0" fontId="3" fillId="0" borderId="137" xfId="0" applyFont="1" applyBorder="1" applyAlignment="1">
      <alignment horizontal="center" vertical="center" textRotation="255"/>
    </xf>
    <xf numFmtId="0" fontId="3" fillId="0" borderId="138" xfId="0" applyFont="1" applyBorder="1" applyAlignment="1">
      <alignment horizontal="center" vertical="center" textRotation="255"/>
    </xf>
    <xf numFmtId="0" fontId="3" fillId="0" borderId="139" xfId="0" applyFont="1" applyBorder="1" applyAlignment="1">
      <alignment horizontal="center" vertical="center" textRotation="255"/>
    </xf>
    <xf numFmtId="0" fontId="3" fillId="0" borderId="135" xfId="0" applyFont="1" applyBorder="1" applyAlignment="1">
      <alignment horizontal="center" vertical="center" textRotation="255"/>
    </xf>
    <xf numFmtId="0" fontId="3" fillId="0" borderId="0" xfId="0" applyFont="1" applyAlignment="1">
      <alignment horizontal="center" vertical="center" textRotation="255"/>
    </xf>
    <xf numFmtId="0" fontId="3" fillId="0" borderId="11" xfId="0" applyFont="1" applyBorder="1" applyAlignment="1">
      <alignment horizontal="center" vertical="center" textRotation="255"/>
    </xf>
    <xf numFmtId="0" fontId="3" fillId="0" borderId="137" xfId="0" applyFont="1" applyBorder="1" applyAlignment="1">
      <alignment horizontal="center" vertical="top" shrinkToFit="1"/>
    </xf>
    <xf numFmtId="0" fontId="3" fillId="0" borderId="138" xfId="0" applyFont="1" applyBorder="1" applyAlignment="1">
      <alignment horizontal="center" vertical="top" shrinkToFit="1"/>
    </xf>
    <xf numFmtId="0" fontId="3" fillId="0" borderId="139" xfId="0" applyFont="1" applyBorder="1" applyAlignment="1">
      <alignment horizontal="center" vertical="top" shrinkToFit="1"/>
    </xf>
    <xf numFmtId="180" fontId="36" fillId="0" borderId="137" xfId="0" quotePrefix="1" applyNumberFormat="1" applyFont="1" applyBorder="1" applyAlignment="1">
      <alignment horizontal="center" vertical="center"/>
    </xf>
    <xf numFmtId="180" fontId="36" fillId="0" borderId="138" xfId="0" quotePrefix="1" applyNumberFormat="1" applyFont="1" applyBorder="1" applyAlignment="1">
      <alignment horizontal="center" vertical="center"/>
    </xf>
    <xf numFmtId="180" fontId="36" fillId="0" borderId="139" xfId="0" quotePrefix="1" applyNumberFormat="1" applyFont="1" applyBorder="1" applyAlignment="1">
      <alignment horizontal="center" vertical="center"/>
    </xf>
    <xf numFmtId="180" fontId="36" fillId="0" borderId="151" xfId="0" quotePrefix="1" applyNumberFormat="1" applyFont="1" applyBorder="1" applyAlignment="1">
      <alignment horizontal="center" vertical="center"/>
    </xf>
    <xf numFmtId="180" fontId="36" fillId="0" borderId="152" xfId="0" quotePrefix="1" applyNumberFormat="1" applyFont="1" applyBorder="1" applyAlignment="1">
      <alignment horizontal="center" vertical="center"/>
    </xf>
    <xf numFmtId="180" fontId="36" fillId="0" borderId="153" xfId="0" quotePrefix="1" applyNumberFormat="1" applyFont="1" applyBorder="1" applyAlignment="1">
      <alignment horizontal="center" vertical="center"/>
    </xf>
    <xf numFmtId="0" fontId="3" fillId="0" borderId="137" xfId="0" applyFont="1" applyBorder="1" applyAlignment="1">
      <alignment horizontal="left"/>
    </xf>
    <xf numFmtId="0" fontId="3" fillId="0" borderId="138" xfId="0" applyFont="1" applyBorder="1" applyAlignment="1">
      <alignment horizontal="left"/>
    </xf>
    <xf numFmtId="0" fontId="3" fillId="0" borderId="139" xfId="0" applyFont="1" applyBorder="1" applyAlignment="1">
      <alignment horizontal="left"/>
    </xf>
    <xf numFmtId="179" fontId="3" fillId="0" borderId="137" xfId="0" applyNumberFormat="1" applyFont="1" applyBorder="1" applyAlignment="1">
      <alignment horizontal="center"/>
    </xf>
    <xf numFmtId="179" fontId="3" fillId="0" borderId="138" xfId="0" applyNumberFormat="1" applyFont="1" applyBorder="1" applyAlignment="1">
      <alignment horizontal="center"/>
    </xf>
    <xf numFmtId="179" fontId="3" fillId="0" borderId="139" xfId="0" applyNumberFormat="1" applyFont="1" applyBorder="1" applyAlignment="1">
      <alignment horizontal="center"/>
    </xf>
    <xf numFmtId="179" fontId="3" fillId="0" borderId="18" xfId="0" applyNumberFormat="1" applyFont="1" applyBorder="1" applyAlignment="1">
      <alignment horizontal="center"/>
    </xf>
    <xf numFmtId="179" fontId="3" fillId="0" borderId="19" xfId="0" applyNumberFormat="1" applyFont="1" applyBorder="1" applyAlignment="1">
      <alignment horizontal="center"/>
    </xf>
    <xf numFmtId="179" fontId="3" fillId="0" borderId="12" xfId="0" applyNumberFormat="1" applyFont="1" applyBorder="1" applyAlignment="1">
      <alignment horizontal="center"/>
    </xf>
    <xf numFmtId="176" fontId="36" fillId="0" borderId="137" xfId="0" applyNumberFormat="1" applyFont="1" applyBorder="1" applyAlignment="1">
      <alignment horizontal="center" vertical="center"/>
    </xf>
    <xf numFmtId="176" fontId="36" fillId="0" borderId="138" xfId="0" applyNumberFormat="1" applyFont="1" applyBorder="1" applyAlignment="1">
      <alignment horizontal="center" vertical="center"/>
    </xf>
    <xf numFmtId="176" fontId="36" fillId="0" borderId="139" xfId="0" applyNumberFormat="1" applyFont="1" applyBorder="1" applyAlignment="1">
      <alignment horizontal="center" vertical="center"/>
    </xf>
    <xf numFmtId="176" fontId="36" fillId="0" borderId="18" xfId="0" applyNumberFormat="1" applyFont="1" applyBorder="1" applyAlignment="1">
      <alignment horizontal="center" vertical="center"/>
    </xf>
    <xf numFmtId="176" fontId="36" fillId="0" borderId="19" xfId="0" applyNumberFormat="1" applyFont="1" applyBorder="1" applyAlignment="1">
      <alignment horizontal="center" vertical="center"/>
    </xf>
    <xf numFmtId="176" fontId="36" fillId="0" borderId="12" xfId="0" applyNumberFormat="1" applyFont="1" applyBorder="1" applyAlignment="1">
      <alignment horizontal="center" vertical="center"/>
    </xf>
    <xf numFmtId="0" fontId="3" fillId="0" borderId="143" xfId="0" applyFont="1" applyBorder="1" applyAlignment="1">
      <alignment horizontal="center"/>
    </xf>
    <xf numFmtId="0" fontId="3" fillId="0" borderId="144" xfId="0" applyFont="1" applyBorder="1" applyAlignment="1">
      <alignment horizontal="center"/>
    </xf>
    <xf numFmtId="0" fontId="3" fillId="0" borderId="144" xfId="0" applyFont="1" applyBorder="1"/>
    <xf numFmtId="0" fontId="3" fillId="0" borderId="145" xfId="0" applyFont="1" applyBorder="1"/>
    <xf numFmtId="1" fontId="3" fillId="0" borderId="147" xfId="0" applyNumberFormat="1" applyFont="1" applyBorder="1" applyAlignment="1">
      <alignment horizontal="center" shrinkToFit="1"/>
    </xf>
    <xf numFmtId="1" fontId="3" fillId="0" borderId="148" xfId="0" applyNumberFormat="1" applyFont="1" applyBorder="1" applyAlignment="1">
      <alignment horizontal="center" shrinkToFit="1"/>
    </xf>
    <xf numFmtId="1" fontId="3" fillId="0" borderId="149" xfId="0" applyNumberFormat="1" applyFont="1" applyBorder="1" applyAlignment="1">
      <alignment horizontal="center" shrinkToFit="1"/>
    </xf>
    <xf numFmtId="1" fontId="3" fillId="0" borderId="143" xfId="0" applyNumberFormat="1" applyFont="1" applyBorder="1" applyAlignment="1">
      <alignment horizontal="center"/>
    </xf>
    <xf numFmtId="1" fontId="3" fillId="0" borderId="144" xfId="0" applyNumberFormat="1" applyFont="1" applyBorder="1" applyAlignment="1">
      <alignment horizontal="center"/>
    </xf>
    <xf numFmtId="1" fontId="3" fillId="0" borderId="145" xfId="0" applyNumberFormat="1" applyFont="1" applyBorder="1" applyAlignment="1">
      <alignment horizontal="center"/>
    </xf>
    <xf numFmtId="178" fontId="3" fillId="0" borderId="143" xfId="0" quotePrefix="1" applyNumberFormat="1" applyFont="1" applyBorder="1" applyAlignment="1">
      <alignment horizontal="center"/>
    </xf>
    <xf numFmtId="178" fontId="3" fillId="0" borderId="144" xfId="0" quotePrefix="1" applyNumberFormat="1" applyFont="1" applyBorder="1" applyAlignment="1">
      <alignment horizontal="center"/>
    </xf>
    <xf numFmtId="178" fontId="3" fillId="0" borderId="145" xfId="0" quotePrefix="1" applyNumberFormat="1" applyFont="1" applyBorder="1" applyAlignment="1">
      <alignment horizontal="center"/>
    </xf>
    <xf numFmtId="1" fontId="3" fillId="0" borderId="143" xfId="0" quotePrefix="1" applyNumberFormat="1" applyFont="1" applyBorder="1" applyAlignment="1">
      <alignment horizontal="center"/>
    </xf>
    <xf numFmtId="1" fontId="3" fillId="0" borderId="144" xfId="0" quotePrefix="1" applyNumberFormat="1" applyFont="1" applyBorder="1" applyAlignment="1">
      <alignment horizontal="center"/>
    </xf>
    <xf numFmtId="1" fontId="3" fillId="0" borderId="145" xfId="0" quotePrefix="1" applyNumberFormat="1" applyFont="1" applyBorder="1" applyAlignment="1">
      <alignment horizontal="center"/>
    </xf>
    <xf numFmtId="57" fontId="3" fillId="0" borderId="137" xfId="0" applyNumberFormat="1" applyFont="1" applyBorder="1" applyAlignment="1">
      <alignment horizontal="center" vertical="center"/>
    </xf>
    <xf numFmtId="57" fontId="3" fillId="0" borderId="138" xfId="0" applyNumberFormat="1" applyFont="1" applyBorder="1" applyAlignment="1">
      <alignment horizontal="center" vertical="center"/>
    </xf>
    <xf numFmtId="57" fontId="3" fillId="0" borderId="139" xfId="0" applyNumberFormat="1" applyFont="1" applyBorder="1" applyAlignment="1">
      <alignment horizontal="center" vertical="center"/>
    </xf>
    <xf numFmtId="57" fontId="3" fillId="0" borderId="18" xfId="0" applyNumberFormat="1" applyFont="1" applyBorder="1" applyAlignment="1">
      <alignment horizontal="center" vertical="center"/>
    </xf>
    <xf numFmtId="57" fontId="3" fillId="0" borderId="19" xfId="0" applyNumberFormat="1" applyFont="1" applyBorder="1" applyAlignment="1">
      <alignment horizontal="center" vertical="center"/>
    </xf>
    <xf numFmtId="57" fontId="3" fillId="0" borderId="12" xfId="0" applyNumberFormat="1" applyFont="1" applyBorder="1" applyAlignment="1">
      <alignment horizontal="center" vertical="center"/>
    </xf>
    <xf numFmtId="0" fontId="3" fillId="0" borderId="18" xfId="0" applyFont="1" applyBorder="1" applyAlignment="1">
      <alignment horizontal="center" vertical="center" textRotation="255"/>
    </xf>
    <xf numFmtId="0" fontId="3" fillId="0" borderId="19" xfId="0" applyFont="1" applyBorder="1" applyAlignment="1">
      <alignment horizontal="center" vertical="center" textRotation="255"/>
    </xf>
    <xf numFmtId="0" fontId="3" fillId="0" borderId="12" xfId="0" applyFont="1" applyBorder="1" applyAlignment="1">
      <alignment horizontal="center" vertical="center" textRotation="255"/>
    </xf>
    <xf numFmtId="0" fontId="3" fillId="0" borderId="140" xfId="0" applyFont="1" applyBorder="1" applyAlignment="1">
      <alignment horizontal="center"/>
    </xf>
    <xf numFmtId="0" fontId="3" fillId="0" borderId="141" xfId="0" applyFont="1" applyBorder="1" applyAlignment="1">
      <alignment horizontal="center"/>
    </xf>
    <xf numFmtId="0" fontId="3" fillId="0" borderId="141" xfId="0" applyFont="1" applyBorder="1"/>
    <xf numFmtId="0" fontId="3" fillId="0" borderId="142" xfId="0" applyFont="1" applyBorder="1"/>
    <xf numFmtId="1" fontId="39" fillId="0" borderId="140" xfId="0" quotePrefix="1" applyNumberFormat="1" applyFont="1" applyBorder="1" applyAlignment="1">
      <alignment horizontal="center"/>
    </xf>
    <xf numFmtId="1" fontId="39" fillId="0" borderId="141" xfId="0" quotePrefix="1" applyNumberFormat="1" applyFont="1" applyBorder="1" applyAlignment="1">
      <alignment horizontal="center"/>
    </xf>
    <xf numFmtId="1" fontId="39" fillId="0" borderId="142" xfId="0" quotePrefix="1" applyNumberFormat="1" applyFont="1" applyBorder="1" applyAlignment="1">
      <alignment horizontal="center"/>
    </xf>
    <xf numFmtId="1" fontId="3" fillId="0" borderId="140" xfId="0" quotePrefix="1" applyNumberFormat="1" applyFont="1" applyBorder="1" applyAlignment="1">
      <alignment horizontal="center"/>
    </xf>
    <xf numFmtId="1" fontId="3" fillId="0" borderId="141" xfId="0" quotePrefix="1" applyNumberFormat="1" applyFont="1" applyBorder="1" applyAlignment="1">
      <alignment horizontal="center"/>
    </xf>
    <xf numFmtId="1" fontId="3" fillId="0" borderId="142" xfId="0" quotePrefix="1" applyNumberFormat="1" applyFont="1" applyBorder="1" applyAlignment="1">
      <alignment horizontal="center"/>
    </xf>
    <xf numFmtId="0" fontId="3" fillId="0" borderId="145" xfId="0" applyFont="1" applyBorder="1" applyAlignment="1">
      <alignment horizontal="center"/>
    </xf>
    <xf numFmtId="0" fontId="3" fillId="0" borderId="146" xfId="0" quotePrefix="1" applyFont="1" applyBorder="1" applyAlignment="1">
      <alignment horizontal="center"/>
    </xf>
    <xf numFmtId="0" fontId="3" fillId="0" borderId="146" xfId="0" applyFont="1" applyBorder="1" applyAlignment="1">
      <alignment horizontal="center"/>
    </xf>
    <xf numFmtId="0" fontId="3" fillId="0" borderId="147" xfId="0" applyFont="1" applyBorder="1" applyAlignment="1">
      <alignment horizontal="center"/>
    </xf>
    <xf numFmtId="0" fontId="3" fillId="0" borderId="148" xfId="0" applyFont="1" applyBorder="1" applyAlignment="1">
      <alignment horizontal="center"/>
    </xf>
    <xf numFmtId="0" fontId="3" fillId="0" borderId="149" xfId="0" applyFont="1" applyBorder="1" applyAlignment="1">
      <alignment horizontal="center"/>
    </xf>
    <xf numFmtId="17" fontId="3" fillId="0" borderId="150" xfId="0" quotePrefix="1" applyNumberFormat="1" applyFont="1" applyBorder="1" applyAlignment="1">
      <alignment horizontal="center"/>
    </xf>
    <xf numFmtId="0" fontId="3" fillId="0" borderId="142" xfId="0" applyFont="1" applyBorder="1" applyAlignment="1">
      <alignment horizontal="center"/>
    </xf>
    <xf numFmtId="0" fontId="3" fillId="0" borderId="168" xfId="0" quotePrefix="1" applyFont="1" applyBorder="1" applyAlignment="1">
      <alignment horizontal="center"/>
    </xf>
    <xf numFmtId="0" fontId="24" fillId="0" borderId="0" xfId="0" applyFont="1" applyAlignment="1">
      <alignment horizontal="center"/>
    </xf>
    <xf numFmtId="0" fontId="3" fillId="0" borderId="19" xfId="0" applyFont="1" applyBorder="1" applyAlignment="1">
      <alignment horizontal="right"/>
    </xf>
    <xf numFmtId="0" fontId="3" fillId="0" borderId="135" xfId="0" applyFont="1" applyBorder="1" applyAlignment="1">
      <alignment horizontal="center" vertical="center"/>
    </xf>
    <xf numFmtId="0" fontId="3" fillId="0" borderId="0" xfId="0" applyFont="1" applyAlignment="1">
      <alignment horizontal="center" vertical="center"/>
    </xf>
    <xf numFmtId="0" fontId="3" fillId="0" borderId="138" xfId="0" applyFont="1" applyBorder="1" applyAlignment="1">
      <alignment horizontal="right"/>
    </xf>
    <xf numFmtId="182" fontId="36" fillId="0" borderId="137" xfId="0" quotePrefix="1" applyNumberFormat="1" applyFont="1" applyBorder="1" applyAlignment="1">
      <alignment horizontal="center" vertical="center"/>
    </xf>
    <xf numFmtId="182" fontId="36" fillId="0" borderId="138" xfId="0" quotePrefix="1" applyNumberFormat="1" applyFont="1" applyBorder="1" applyAlignment="1">
      <alignment horizontal="center" vertical="center"/>
    </xf>
    <xf numFmtId="182" fontId="36" fillId="0" borderId="139" xfId="0" quotePrefix="1" applyNumberFormat="1" applyFont="1" applyBorder="1" applyAlignment="1">
      <alignment horizontal="center" vertical="center"/>
    </xf>
    <xf numFmtId="182" fontId="36" fillId="0" borderId="18" xfId="0" quotePrefix="1" applyNumberFormat="1" applyFont="1" applyBorder="1" applyAlignment="1">
      <alignment horizontal="center" vertical="center"/>
    </xf>
    <xf numFmtId="182" fontId="36" fillId="0" borderId="19" xfId="0" quotePrefix="1" applyNumberFormat="1" applyFont="1" applyBorder="1" applyAlignment="1">
      <alignment horizontal="center" vertical="center"/>
    </xf>
    <xf numFmtId="182" fontId="36" fillId="0" borderId="12" xfId="0" quotePrefix="1" applyNumberFormat="1" applyFont="1" applyBorder="1" applyAlignment="1">
      <alignment horizontal="center" vertical="center"/>
    </xf>
    <xf numFmtId="0" fontId="36" fillId="0" borderId="137" xfId="0" applyFont="1" applyBorder="1"/>
    <xf numFmtId="0" fontId="36" fillId="0" borderId="138" xfId="0" applyFont="1" applyBorder="1"/>
    <xf numFmtId="0" fontId="36" fillId="0" borderId="139" xfId="0" applyFont="1" applyBorder="1"/>
    <xf numFmtId="0" fontId="3" fillId="0" borderId="137" xfId="0" applyFont="1" applyBorder="1"/>
    <xf numFmtId="0" fontId="3" fillId="0" borderId="138" xfId="0" applyFont="1" applyBorder="1"/>
    <xf numFmtId="0" fontId="3" fillId="0" borderId="139" xfId="0" applyFont="1" applyBorder="1"/>
    <xf numFmtId="182" fontId="36" fillId="0" borderId="18" xfId="0" quotePrefix="1" applyNumberFormat="1" applyFont="1" applyBorder="1" applyAlignment="1">
      <alignment horizontal="center"/>
    </xf>
    <xf numFmtId="182" fontId="36" fillId="0" borderId="19" xfId="0" applyNumberFormat="1" applyFont="1" applyBorder="1" applyAlignment="1">
      <alignment horizontal="center"/>
    </xf>
    <xf numFmtId="182" fontId="36" fillId="0" borderId="12" xfId="0" applyNumberFormat="1" applyFont="1" applyBorder="1" applyAlignment="1">
      <alignment horizontal="center"/>
    </xf>
    <xf numFmtId="182" fontId="36" fillId="0" borderId="18" xfId="0" applyNumberFormat="1" applyFont="1" applyBorder="1" applyAlignment="1">
      <alignment horizontal="center"/>
    </xf>
    <xf numFmtId="182" fontId="3" fillId="0" borderId="18" xfId="0" quotePrefix="1" applyNumberFormat="1" applyFont="1" applyBorder="1" applyAlignment="1">
      <alignment horizontal="center"/>
    </xf>
    <xf numFmtId="182" fontId="3" fillId="0" borderId="19" xfId="0" applyNumberFormat="1" applyFont="1" applyBorder="1" applyAlignment="1">
      <alignment horizontal="center"/>
    </xf>
    <xf numFmtId="182" fontId="3" fillId="0" borderId="12" xfId="0" applyNumberFormat="1" applyFont="1" applyBorder="1" applyAlignment="1">
      <alignment horizontal="center"/>
    </xf>
    <xf numFmtId="182" fontId="3" fillId="0" borderId="18" xfId="0" applyNumberFormat="1" applyFont="1" applyBorder="1" applyAlignment="1">
      <alignment horizontal="center"/>
    </xf>
    <xf numFmtId="181" fontId="36" fillId="0" borderId="18" xfId="0" quotePrefix="1" applyNumberFormat="1" applyFont="1" applyBorder="1" applyAlignment="1">
      <alignment horizontal="center"/>
    </xf>
    <xf numFmtId="181" fontId="36" fillId="0" borderId="19" xfId="0" quotePrefix="1" applyNumberFormat="1" applyFont="1" applyBorder="1" applyAlignment="1">
      <alignment horizontal="center"/>
    </xf>
    <xf numFmtId="181" fontId="36" fillId="0" borderId="12" xfId="0" quotePrefix="1" applyNumberFormat="1" applyFont="1" applyBorder="1" applyAlignment="1">
      <alignment horizontal="center"/>
    </xf>
    <xf numFmtId="181" fontId="36" fillId="0" borderId="18" xfId="0" applyNumberFormat="1" applyFont="1" applyBorder="1" applyAlignment="1">
      <alignment horizontal="center"/>
    </xf>
    <xf numFmtId="181" fontId="36" fillId="0" borderId="19" xfId="0" applyNumberFormat="1" applyFont="1" applyBorder="1" applyAlignment="1">
      <alignment horizontal="center"/>
    </xf>
    <xf numFmtId="181" fontId="36" fillId="0" borderId="12" xfId="0" applyNumberFormat="1" applyFont="1" applyBorder="1" applyAlignment="1">
      <alignment horizontal="center"/>
    </xf>
    <xf numFmtId="181" fontId="3" fillId="0" borderId="18" xfId="0" quotePrefix="1" applyNumberFormat="1" applyFont="1" applyBorder="1" applyAlignment="1">
      <alignment horizontal="center"/>
    </xf>
    <xf numFmtId="181" fontId="3" fillId="0" borderId="19" xfId="0" quotePrefix="1" applyNumberFormat="1" applyFont="1" applyBorder="1" applyAlignment="1">
      <alignment horizontal="center"/>
    </xf>
    <xf numFmtId="181" fontId="3" fillId="0" borderId="12" xfId="0" quotePrefix="1" applyNumberFormat="1" applyFont="1" applyBorder="1" applyAlignment="1">
      <alignment horizontal="center"/>
    </xf>
    <xf numFmtId="181" fontId="3" fillId="0" borderId="18" xfId="0" applyNumberFormat="1" applyFont="1" applyBorder="1" applyAlignment="1">
      <alignment horizontal="center"/>
    </xf>
    <xf numFmtId="181" fontId="3" fillId="0" borderId="19" xfId="0" applyNumberFormat="1" applyFont="1" applyBorder="1" applyAlignment="1">
      <alignment horizontal="center"/>
    </xf>
    <xf numFmtId="181" fontId="3" fillId="0" borderId="12" xfId="0" applyNumberFormat="1" applyFont="1" applyBorder="1" applyAlignment="1">
      <alignment horizontal="center"/>
    </xf>
    <xf numFmtId="181" fontId="36" fillId="0" borderId="137" xfId="0" quotePrefix="1" applyNumberFormat="1" applyFont="1" applyBorder="1" applyAlignment="1">
      <alignment horizontal="center" vertical="center"/>
    </xf>
    <xf numFmtId="181" fontId="36" fillId="0" borderId="138" xfId="0" quotePrefix="1" applyNumberFormat="1" applyFont="1" applyBorder="1" applyAlignment="1">
      <alignment horizontal="center" vertical="center"/>
    </xf>
    <xf numFmtId="181" fontId="36" fillId="0" borderId="139" xfId="0" quotePrefix="1" applyNumberFormat="1" applyFont="1" applyBorder="1" applyAlignment="1">
      <alignment horizontal="center" vertical="center"/>
    </xf>
    <xf numFmtId="181" fontId="36" fillId="0" borderId="18" xfId="0" quotePrefix="1" applyNumberFormat="1" applyFont="1" applyBorder="1" applyAlignment="1">
      <alignment horizontal="center" vertical="center"/>
    </xf>
    <xf numFmtId="181" fontId="36" fillId="0" borderId="19" xfId="0" quotePrefix="1" applyNumberFormat="1" applyFont="1" applyBorder="1" applyAlignment="1">
      <alignment horizontal="center" vertical="center"/>
    </xf>
    <xf numFmtId="181" fontId="36" fillId="0" borderId="12" xfId="0" quotePrefix="1" applyNumberFormat="1" applyFont="1" applyBorder="1" applyAlignment="1">
      <alignment horizontal="center" vertical="center"/>
    </xf>
    <xf numFmtId="0" fontId="36" fillId="0" borderId="137" xfId="0" applyFont="1" applyBorder="1" applyAlignment="1">
      <alignment horizontal="left"/>
    </xf>
    <xf numFmtId="0" fontId="36" fillId="0" borderId="138" xfId="0" applyFont="1" applyBorder="1" applyAlignment="1">
      <alignment horizontal="left"/>
    </xf>
    <xf numFmtId="0" fontId="36" fillId="0" borderId="139" xfId="0" applyFont="1" applyBorder="1" applyAlignment="1">
      <alignment horizontal="left"/>
    </xf>
    <xf numFmtId="180" fontId="36" fillId="0" borderId="151" xfId="0" quotePrefix="1" applyNumberFormat="1" applyFont="1" applyBorder="1" applyAlignment="1">
      <alignment horizontal="center"/>
    </xf>
    <xf numFmtId="180" fontId="36" fillId="0" borderId="152" xfId="0" quotePrefix="1" applyNumberFormat="1" applyFont="1" applyBorder="1" applyAlignment="1">
      <alignment horizontal="center"/>
    </xf>
    <xf numFmtId="180" fontId="36" fillId="0" borderId="153" xfId="0" quotePrefix="1" applyNumberFormat="1" applyFont="1" applyBorder="1" applyAlignment="1">
      <alignment horizontal="center"/>
    </xf>
    <xf numFmtId="0" fontId="3" fillId="0" borderId="135" xfId="0" applyFont="1" applyBorder="1" applyAlignment="1">
      <alignment horizontal="center"/>
    </xf>
    <xf numFmtId="0" fontId="3" fillId="0" borderId="0" xfId="0" applyFont="1" applyAlignment="1">
      <alignment horizontal="center"/>
    </xf>
    <xf numFmtId="0" fontId="3" fillId="0" borderId="11" xfId="0" applyFont="1" applyBorder="1" applyAlignment="1">
      <alignment horizontal="center"/>
    </xf>
    <xf numFmtId="180" fontId="36" fillId="0" borderId="151" xfId="0" applyNumberFormat="1" applyFont="1" applyBorder="1" applyAlignment="1">
      <alignment horizontal="center"/>
    </xf>
    <xf numFmtId="180" fontId="36" fillId="0" borderId="152" xfId="0" applyNumberFormat="1" applyFont="1" applyBorder="1" applyAlignment="1">
      <alignment horizontal="center"/>
    </xf>
    <xf numFmtId="180" fontId="36" fillId="0" borderId="153" xfId="0" applyNumberFormat="1" applyFont="1" applyBorder="1" applyAlignment="1">
      <alignment horizontal="center"/>
    </xf>
    <xf numFmtId="180" fontId="39" fillId="0" borderId="151" xfId="0" applyNumberFormat="1" applyFont="1" applyBorder="1" applyAlignment="1">
      <alignment horizontal="center"/>
    </xf>
    <xf numFmtId="180" fontId="39" fillId="0" borderId="152" xfId="0" applyNumberFormat="1" applyFont="1" applyBorder="1" applyAlignment="1">
      <alignment horizontal="center"/>
    </xf>
    <xf numFmtId="180" fontId="39" fillId="0" borderId="153" xfId="0" applyNumberFormat="1" applyFont="1" applyBorder="1" applyAlignment="1">
      <alignment horizontal="center"/>
    </xf>
    <xf numFmtId="0" fontId="3" fillId="0" borderId="137" xfId="0" applyFont="1" applyBorder="1" applyAlignment="1">
      <alignment horizontal="center" vertical="top"/>
    </xf>
    <xf numFmtId="0" fontId="3" fillId="0" borderId="138" xfId="0" applyFont="1" applyBorder="1" applyAlignment="1">
      <alignment horizontal="center" vertical="top"/>
    </xf>
    <xf numFmtId="0" fontId="3" fillId="0" borderId="139" xfId="0" applyFont="1" applyBorder="1" applyAlignment="1">
      <alignment horizontal="center" vertical="top"/>
    </xf>
    <xf numFmtId="179" fontId="36" fillId="0" borderId="137" xfId="0" applyNumberFormat="1" applyFont="1" applyBorder="1" applyAlignment="1">
      <alignment horizontal="center" vertical="center"/>
    </xf>
    <xf numFmtId="179" fontId="36" fillId="0" borderId="138" xfId="0" applyNumberFormat="1" applyFont="1" applyBorder="1" applyAlignment="1">
      <alignment horizontal="center" vertical="center"/>
    </xf>
    <xf numFmtId="179" fontId="36" fillId="0" borderId="139" xfId="0" applyNumberFormat="1" applyFont="1" applyBorder="1" applyAlignment="1">
      <alignment horizontal="center" vertical="center"/>
    </xf>
    <xf numFmtId="179" fontId="36" fillId="0" borderId="18" xfId="0" applyNumberFormat="1" applyFont="1" applyBorder="1" applyAlignment="1">
      <alignment horizontal="center" vertical="center"/>
    </xf>
    <xf numFmtId="179" fontId="36" fillId="0" borderId="19" xfId="0" applyNumberFormat="1" applyFont="1" applyBorder="1" applyAlignment="1">
      <alignment horizontal="center" vertical="center"/>
    </xf>
    <xf numFmtId="179" fontId="36" fillId="0" borderId="12" xfId="0" applyNumberFormat="1" applyFont="1" applyBorder="1" applyAlignment="1">
      <alignment horizontal="center" vertical="center"/>
    </xf>
    <xf numFmtId="179" fontId="36" fillId="0" borderId="137" xfId="0" applyNumberFormat="1" applyFont="1" applyBorder="1" applyAlignment="1">
      <alignment horizontal="center"/>
    </xf>
    <xf numFmtId="179" fontId="36" fillId="0" borderId="138" xfId="0" applyNumberFormat="1" applyFont="1" applyBorder="1" applyAlignment="1">
      <alignment horizontal="center"/>
    </xf>
    <xf numFmtId="179" fontId="36" fillId="0" borderId="139" xfId="0" applyNumberFormat="1" applyFont="1" applyBorder="1" applyAlignment="1">
      <alignment horizontal="center"/>
    </xf>
    <xf numFmtId="179" fontId="36" fillId="0" borderId="18" xfId="0" applyNumberFormat="1" applyFont="1" applyBorder="1" applyAlignment="1">
      <alignment horizontal="center"/>
    </xf>
    <xf numFmtId="179" fontId="36" fillId="0" borderId="19" xfId="0" applyNumberFormat="1" applyFont="1" applyBorder="1" applyAlignment="1">
      <alignment horizontal="center"/>
    </xf>
    <xf numFmtId="179" fontId="36" fillId="0" borderId="12" xfId="0" applyNumberFormat="1" applyFont="1" applyBorder="1" applyAlignment="1">
      <alignment horizontal="center"/>
    </xf>
    <xf numFmtId="176" fontId="3" fillId="0" borderId="140" xfId="0" quotePrefix="1" applyNumberFormat="1" applyFont="1" applyBorder="1" applyAlignment="1">
      <alignment horizontal="center"/>
    </xf>
    <xf numFmtId="176" fontId="3" fillId="0" borderId="141" xfId="0" quotePrefix="1" applyNumberFormat="1" applyFont="1" applyBorder="1" applyAlignment="1">
      <alignment horizontal="center"/>
    </xf>
    <xf numFmtId="176" fontId="3" fillId="0" borderId="142" xfId="0" quotePrefix="1" applyNumberFormat="1" applyFont="1" applyBorder="1" applyAlignment="1">
      <alignment horizontal="center"/>
    </xf>
    <xf numFmtId="0" fontId="3" fillId="0" borderId="135" xfId="0" quotePrefix="1" applyFont="1" applyBorder="1" applyAlignment="1">
      <alignment horizontal="center"/>
    </xf>
    <xf numFmtId="0" fontId="3" fillId="0" borderId="0" xfId="0" quotePrefix="1" applyFont="1" applyAlignment="1">
      <alignment horizontal="center"/>
    </xf>
    <xf numFmtId="0" fontId="3" fillId="0" borderId="11" xfId="0" quotePrefix="1" applyFont="1" applyBorder="1" applyAlignment="1">
      <alignment horizontal="center"/>
    </xf>
    <xf numFmtId="0" fontId="3" fillId="0" borderId="16" xfId="0" quotePrefix="1" applyFont="1" applyBorder="1" applyAlignment="1">
      <alignment horizontal="center"/>
    </xf>
    <xf numFmtId="0" fontId="3" fillId="0" borderId="3" xfId="0" applyFont="1" applyBorder="1" applyAlignment="1">
      <alignment horizontal="center"/>
    </xf>
    <xf numFmtId="0" fontId="3" fillId="0" borderId="151" xfId="0" quotePrefix="1" applyFont="1" applyBorder="1" applyAlignment="1">
      <alignment horizontal="center"/>
    </xf>
    <xf numFmtId="0" fontId="3" fillId="0" borderId="152" xfId="0" applyFont="1" applyBorder="1" applyAlignment="1">
      <alignment horizontal="center"/>
    </xf>
    <xf numFmtId="0" fontId="3" fillId="0" borderId="153" xfId="0" applyFont="1" applyBorder="1" applyAlignment="1">
      <alignment horizontal="center"/>
    </xf>
    <xf numFmtId="0" fontId="3" fillId="0" borderId="151" xfId="0" applyFont="1" applyBorder="1" applyAlignment="1">
      <alignment horizontal="center"/>
    </xf>
    <xf numFmtId="0" fontId="3" fillId="0" borderId="168" xfId="0" applyFont="1" applyBorder="1" applyAlignment="1">
      <alignment horizontal="center"/>
    </xf>
    <xf numFmtId="0" fontId="26" fillId="0" borderId="0" xfId="0" applyFont="1" applyAlignment="1">
      <alignment horizontal="center"/>
    </xf>
    <xf numFmtId="0" fontId="3" fillId="0" borderId="14" xfId="0" applyFont="1" applyBorder="1" applyAlignment="1">
      <alignment horizontal="center" vertical="center"/>
    </xf>
    <xf numFmtId="180" fontId="3" fillId="0" borderId="137" xfId="0" applyNumberFormat="1" applyFont="1" applyBorder="1" applyAlignment="1">
      <alignment horizontal="center"/>
    </xf>
    <xf numFmtId="180" fontId="3" fillId="0" borderId="138" xfId="0" applyNumberFormat="1" applyFont="1" applyBorder="1" applyAlignment="1">
      <alignment horizontal="center"/>
    </xf>
    <xf numFmtId="180" fontId="3" fillId="0" borderId="139" xfId="0" applyNumberFormat="1" applyFont="1" applyBorder="1" applyAlignment="1">
      <alignment horizontal="center"/>
    </xf>
    <xf numFmtId="180" fontId="3" fillId="0" borderId="18" xfId="0" applyNumberFormat="1" applyFont="1" applyBorder="1" applyAlignment="1">
      <alignment horizontal="center"/>
    </xf>
    <xf numFmtId="180" fontId="3" fillId="0" borderId="19" xfId="0" applyNumberFormat="1" applyFont="1" applyBorder="1" applyAlignment="1">
      <alignment horizontal="center"/>
    </xf>
    <xf numFmtId="180" fontId="3" fillId="0" borderId="12" xfId="0" applyNumberFormat="1" applyFont="1" applyBorder="1" applyAlignment="1">
      <alignment horizontal="center"/>
    </xf>
    <xf numFmtId="180" fontId="3" fillId="0" borderId="147" xfId="0" applyNumberFormat="1" applyFont="1" applyBorder="1" applyAlignment="1">
      <alignment horizontal="center"/>
    </xf>
    <xf numFmtId="180" fontId="3" fillId="0" borderId="148" xfId="0" applyNumberFormat="1" applyFont="1" applyBorder="1" applyAlignment="1">
      <alignment horizontal="center"/>
    </xf>
    <xf numFmtId="180" fontId="3" fillId="0" borderId="149" xfId="0" applyNumberFormat="1" applyFont="1" applyBorder="1" applyAlignment="1">
      <alignment horizontal="center"/>
    </xf>
    <xf numFmtId="184" fontId="3" fillId="0" borderId="147" xfId="0" applyNumberFormat="1" applyFont="1" applyBorder="1" applyAlignment="1">
      <alignment horizontal="center"/>
    </xf>
    <xf numFmtId="184" fontId="3" fillId="0" borderId="148" xfId="0" applyNumberFormat="1" applyFont="1" applyBorder="1" applyAlignment="1">
      <alignment horizontal="center"/>
    </xf>
    <xf numFmtId="184" fontId="3" fillId="0" borderId="149" xfId="0" applyNumberFormat="1" applyFont="1" applyBorder="1" applyAlignment="1">
      <alignment horizontal="center"/>
    </xf>
    <xf numFmtId="0" fontId="3" fillId="0" borderId="137" xfId="0" applyFont="1" applyBorder="1" applyAlignment="1">
      <alignment horizontal="left" vertical="center"/>
    </xf>
    <xf numFmtId="0" fontId="3" fillId="0" borderId="138" xfId="0" applyFont="1" applyBorder="1" applyAlignment="1">
      <alignment horizontal="left" vertical="center"/>
    </xf>
    <xf numFmtId="0" fontId="3" fillId="0" borderId="18" xfId="0" applyFont="1" applyBorder="1" applyAlignment="1">
      <alignment horizontal="left" vertical="center"/>
    </xf>
    <xf numFmtId="0" fontId="3" fillId="0" borderId="19" xfId="0" applyFont="1" applyBorder="1" applyAlignment="1">
      <alignment horizontal="left" vertical="center"/>
    </xf>
    <xf numFmtId="180" fontId="3" fillId="0" borderId="137" xfId="0" applyNumberFormat="1" applyFont="1" applyBorder="1" applyAlignment="1">
      <alignment horizontal="center" vertical="center"/>
    </xf>
    <xf numFmtId="180" fontId="3" fillId="0" borderId="138" xfId="0" applyNumberFormat="1" applyFont="1" applyBorder="1" applyAlignment="1">
      <alignment horizontal="center" vertical="center"/>
    </xf>
    <xf numFmtId="180" fontId="3" fillId="0" borderId="139" xfId="0" applyNumberFormat="1" applyFont="1" applyBorder="1" applyAlignment="1">
      <alignment horizontal="center" vertical="center"/>
    </xf>
    <xf numFmtId="180" fontId="3" fillId="0" borderId="18" xfId="0" applyNumberFormat="1" applyFont="1" applyBorder="1" applyAlignment="1">
      <alignment horizontal="center" vertical="center"/>
    </xf>
    <xf numFmtId="180" fontId="3" fillId="0" borderId="19" xfId="0" applyNumberFormat="1" applyFont="1" applyBorder="1" applyAlignment="1">
      <alignment horizontal="center" vertical="center"/>
    </xf>
    <xf numFmtId="180" fontId="3" fillId="0" borderId="12" xfId="0" applyNumberFormat="1" applyFont="1" applyBorder="1" applyAlignment="1">
      <alignment horizontal="center" vertical="center"/>
    </xf>
    <xf numFmtId="176" fontId="3" fillId="0" borderId="137" xfId="0" applyNumberFormat="1" applyFont="1" applyBorder="1" applyAlignment="1">
      <alignment horizontal="center" vertical="center"/>
    </xf>
    <xf numFmtId="176" fontId="3" fillId="0" borderId="138" xfId="0" applyNumberFormat="1" applyFont="1" applyBorder="1" applyAlignment="1">
      <alignment horizontal="center" vertical="center"/>
    </xf>
    <xf numFmtId="176" fontId="3" fillId="0" borderId="139" xfId="0" applyNumberFormat="1" applyFont="1" applyBorder="1" applyAlignment="1">
      <alignment horizontal="center" vertical="center"/>
    </xf>
    <xf numFmtId="176" fontId="3" fillId="0" borderId="18" xfId="0" applyNumberFormat="1" applyFont="1" applyBorder="1" applyAlignment="1">
      <alignment horizontal="center" vertical="center"/>
    </xf>
    <xf numFmtId="176" fontId="3" fillId="0" borderId="19" xfId="0" applyNumberFormat="1" applyFont="1" applyBorder="1" applyAlignment="1">
      <alignment horizontal="center" vertical="center"/>
    </xf>
    <xf numFmtId="176" fontId="3" fillId="0" borderId="12" xfId="0" applyNumberFormat="1" applyFont="1" applyBorder="1" applyAlignment="1">
      <alignment horizontal="center" vertical="center"/>
    </xf>
    <xf numFmtId="0" fontId="3" fillId="0" borderId="137" xfId="0" applyFont="1" applyBorder="1" applyAlignment="1">
      <alignment horizontal="center" vertical="center" shrinkToFit="1"/>
    </xf>
    <xf numFmtId="0" fontId="3" fillId="0" borderId="139" xfId="0" applyFont="1" applyBorder="1" applyAlignment="1">
      <alignment horizontal="center" vertical="center" shrinkToFit="1"/>
    </xf>
    <xf numFmtId="0" fontId="3" fillId="0" borderId="135" xfId="0" applyFont="1" applyBorder="1" applyAlignment="1">
      <alignment horizontal="center" vertical="center" shrinkToFit="1"/>
    </xf>
    <xf numFmtId="0" fontId="3" fillId="0" borderId="11" xfId="0" applyFont="1" applyBorder="1" applyAlignment="1">
      <alignment horizontal="center" vertical="center" shrinkToFit="1"/>
    </xf>
    <xf numFmtId="0" fontId="3" fillId="0" borderId="18"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140" xfId="0" applyFont="1" applyBorder="1" applyAlignment="1">
      <alignment horizontal="left" vertical="top"/>
    </xf>
    <xf numFmtId="0" fontId="3" fillId="0" borderId="141" xfId="0" applyFont="1" applyBorder="1" applyAlignment="1">
      <alignment horizontal="left" vertical="top"/>
    </xf>
    <xf numFmtId="0" fontId="3" fillId="0" borderId="141" xfId="0" applyFont="1" applyBorder="1" applyAlignment="1">
      <alignment horizontal="center" vertical="top"/>
    </xf>
    <xf numFmtId="0" fontId="3" fillId="0" borderId="142" xfId="0" applyFont="1" applyBorder="1" applyAlignment="1">
      <alignment horizontal="center" vertical="top"/>
    </xf>
    <xf numFmtId="184" fontId="3" fillId="0" borderId="137" xfId="0" applyNumberFormat="1" applyFont="1" applyBorder="1" applyAlignment="1">
      <alignment horizontal="center"/>
    </xf>
    <xf numFmtId="184" fontId="3" fillId="0" borderId="138" xfId="0" applyNumberFormat="1" applyFont="1" applyBorder="1" applyAlignment="1">
      <alignment horizontal="center"/>
    </xf>
    <xf numFmtId="184" fontId="3" fillId="0" borderId="139" xfId="0" applyNumberFormat="1" applyFont="1" applyBorder="1" applyAlignment="1">
      <alignment horizontal="center"/>
    </xf>
    <xf numFmtId="184" fontId="3" fillId="0" borderId="140" xfId="0" applyNumberFormat="1" applyFont="1" applyBorder="1" applyAlignment="1">
      <alignment horizontal="center"/>
    </xf>
    <xf numFmtId="184" fontId="3" fillId="0" borderId="141" xfId="0" applyNumberFormat="1" applyFont="1" applyBorder="1" applyAlignment="1">
      <alignment horizontal="center"/>
    </xf>
    <xf numFmtId="184" fontId="3" fillId="0" borderId="142" xfId="0" applyNumberFormat="1" applyFont="1" applyBorder="1" applyAlignment="1">
      <alignment horizontal="center"/>
    </xf>
    <xf numFmtId="184" fontId="3" fillId="0" borderId="18" xfId="0" applyNumberFormat="1" applyFont="1" applyBorder="1" applyAlignment="1">
      <alignment horizontal="center"/>
    </xf>
    <xf numFmtId="184" fontId="3" fillId="0" borderId="19" xfId="0" applyNumberFormat="1" applyFont="1" applyBorder="1" applyAlignment="1">
      <alignment horizontal="center"/>
    </xf>
    <xf numFmtId="184" fontId="3" fillId="0" borderId="12" xfId="0" applyNumberFormat="1" applyFont="1" applyBorder="1" applyAlignment="1">
      <alignment horizontal="center"/>
    </xf>
    <xf numFmtId="0" fontId="3" fillId="0" borderId="147" xfId="0" applyFont="1" applyBorder="1" applyAlignment="1">
      <alignment horizontal="left" vertical="top"/>
    </xf>
    <xf numFmtId="0" fontId="3" fillId="0" borderId="148" xfId="0" applyFont="1" applyBorder="1" applyAlignment="1">
      <alignment horizontal="left" vertical="top"/>
    </xf>
    <xf numFmtId="0" fontId="3" fillId="0" borderId="148" xfId="0" applyFont="1" applyBorder="1" applyAlignment="1">
      <alignment horizontal="center" vertical="top"/>
    </xf>
    <xf numFmtId="0" fontId="3" fillId="0" borderId="149" xfId="0" applyFont="1" applyBorder="1" applyAlignment="1">
      <alignment horizontal="center" vertical="top"/>
    </xf>
    <xf numFmtId="184" fontId="3" fillId="0" borderId="147" xfId="0" applyNumberFormat="1" applyFont="1" applyBorder="1" applyAlignment="1">
      <alignment horizontal="center" shrinkToFit="1"/>
    </xf>
    <xf numFmtId="184" fontId="3" fillId="0" borderId="148" xfId="0" applyNumberFormat="1" applyFont="1" applyBorder="1" applyAlignment="1">
      <alignment horizontal="center" shrinkToFit="1"/>
    </xf>
    <xf numFmtId="184" fontId="3" fillId="0" borderId="149" xfId="0" applyNumberFormat="1" applyFont="1" applyBorder="1" applyAlignment="1">
      <alignment horizontal="center" shrinkToFit="1"/>
    </xf>
    <xf numFmtId="184" fontId="36" fillId="0" borderId="137" xfId="0" applyNumberFormat="1" applyFont="1" applyBorder="1" applyAlignment="1">
      <alignment horizontal="center"/>
    </xf>
    <xf numFmtId="184" fontId="36" fillId="0" borderId="138" xfId="0" applyNumberFormat="1" applyFont="1" applyBorder="1" applyAlignment="1">
      <alignment horizontal="center"/>
    </xf>
    <xf numFmtId="184" fontId="36" fillId="0" borderId="139" xfId="0" applyNumberFormat="1" applyFont="1" applyBorder="1" applyAlignment="1">
      <alignment horizontal="center"/>
    </xf>
    <xf numFmtId="180" fontId="36" fillId="0" borderId="137" xfId="0" applyNumberFormat="1" applyFont="1" applyBorder="1" applyAlignment="1">
      <alignment horizontal="center" vertical="center"/>
    </xf>
    <xf numFmtId="180" fontId="36" fillId="0" borderId="138" xfId="0" applyNumberFormat="1" applyFont="1" applyBorder="1" applyAlignment="1">
      <alignment horizontal="center" vertical="center"/>
    </xf>
    <xf numFmtId="180" fontId="36" fillId="0" borderId="139" xfId="0" applyNumberFormat="1" applyFont="1" applyBorder="1" applyAlignment="1">
      <alignment horizontal="center" vertical="center"/>
    </xf>
    <xf numFmtId="180" fontId="36" fillId="0" borderId="18" xfId="0" applyNumberFormat="1" applyFont="1" applyBorder="1" applyAlignment="1">
      <alignment horizontal="center" vertical="center"/>
    </xf>
    <xf numFmtId="180" fontId="36" fillId="0" borderId="19" xfId="0" applyNumberFormat="1" applyFont="1" applyBorder="1" applyAlignment="1">
      <alignment horizontal="center" vertical="center"/>
    </xf>
    <xf numFmtId="180" fontId="36" fillId="0" borderId="12" xfId="0" applyNumberFormat="1" applyFont="1" applyBorder="1" applyAlignment="1">
      <alignment horizontal="center" vertical="center"/>
    </xf>
    <xf numFmtId="176" fontId="3" fillId="0" borderId="137" xfId="0" applyNumberFormat="1" applyFont="1" applyBorder="1" applyAlignment="1">
      <alignment horizontal="center" wrapText="1"/>
    </xf>
    <xf numFmtId="176" fontId="3" fillId="0" borderId="138" xfId="0" applyNumberFormat="1" applyFont="1" applyBorder="1" applyAlignment="1">
      <alignment horizontal="center" wrapText="1"/>
    </xf>
    <xf numFmtId="176" fontId="3" fillId="0" borderId="139" xfId="0" applyNumberFormat="1" applyFont="1" applyBorder="1" applyAlignment="1">
      <alignment horizontal="center" wrapText="1"/>
    </xf>
    <xf numFmtId="176" fontId="3" fillId="0" borderId="18" xfId="0" applyNumberFormat="1" applyFont="1" applyBorder="1" applyAlignment="1">
      <alignment horizontal="center" wrapText="1"/>
    </xf>
    <xf numFmtId="176" fontId="3" fillId="0" borderId="19" xfId="0" applyNumberFormat="1" applyFont="1" applyBorder="1" applyAlignment="1">
      <alignment horizontal="center" wrapText="1"/>
    </xf>
    <xf numFmtId="176" fontId="3" fillId="0" borderId="12" xfId="0" applyNumberFormat="1" applyFont="1" applyBorder="1" applyAlignment="1">
      <alignment horizontal="center" wrapText="1"/>
    </xf>
    <xf numFmtId="184" fontId="36" fillId="0" borderId="147" xfId="0" applyNumberFormat="1" applyFont="1" applyBorder="1" applyAlignment="1">
      <alignment horizontal="center" shrinkToFit="1"/>
    </xf>
    <xf numFmtId="184" fontId="36" fillId="0" borderId="148" xfId="0" applyNumberFormat="1" applyFont="1" applyBorder="1" applyAlignment="1">
      <alignment horizontal="center" shrinkToFit="1"/>
    </xf>
    <xf numFmtId="184" fontId="36" fillId="0" borderId="149" xfId="0" applyNumberFormat="1" applyFont="1" applyBorder="1" applyAlignment="1">
      <alignment horizontal="center" shrinkToFit="1"/>
    </xf>
    <xf numFmtId="0" fontId="3" fillId="0" borderId="150" xfId="0" quotePrefix="1" applyFont="1" applyBorder="1" applyAlignment="1">
      <alignment horizontal="center"/>
    </xf>
    <xf numFmtId="0" fontId="3" fillId="0" borderId="148" xfId="0" applyFont="1" applyBorder="1"/>
    <xf numFmtId="0" fontId="3" fillId="0" borderId="149" xfId="0" applyFont="1" applyBorder="1"/>
    <xf numFmtId="0" fontId="3" fillId="0" borderId="147" xfId="0" quotePrefix="1" applyFont="1" applyBorder="1" applyAlignment="1">
      <alignment horizontal="center"/>
    </xf>
    <xf numFmtId="0" fontId="3" fillId="0" borderId="148" xfId="0" quotePrefix="1" applyFont="1" applyBorder="1" applyAlignment="1">
      <alignment horizontal="center"/>
    </xf>
    <xf numFmtId="176" fontId="3" fillId="0" borderId="144" xfId="0" applyNumberFormat="1" applyFont="1" applyBorder="1" applyAlignment="1">
      <alignment horizontal="center"/>
    </xf>
    <xf numFmtId="176" fontId="3" fillId="0" borderId="145" xfId="0" applyNumberFormat="1" applyFont="1" applyBorder="1" applyAlignment="1">
      <alignment horizontal="center"/>
    </xf>
    <xf numFmtId="0" fontId="3" fillId="0" borderId="162" xfId="0" quotePrefix="1" applyFont="1" applyBorder="1" applyAlignment="1">
      <alignment horizontal="center"/>
    </xf>
    <xf numFmtId="176" fontId="3" fillId="0" borderId="143" xfId="0" quotePrefix="1" applyNumberFormat="1" applyFont="1" applyBorder="1" applyAlignment="1">
      <alignment horizontal="center"/>
    </xf>
    <xf numFmtId="176" fontId="3" fillId="0" borderId="144" xfId="0" quotePrefix="1" applyNumberFormat="1" applyFont="1" applyBorder="1" applyAlignment="1">
      <alignment horizontal="center"/>
    </xf>
    <xf numFmtId="176" fontId="3" fillId="0" borderId="146" xfId="0" quotePrefix="1" applyNumberFormat="1" applyFont="1" applyBorder="1" applyAlignment="1">
      <alignment horizontal="center"/>
    </xf>
    <xf numFmtId="0" fontId="3" fillId="0" borderId="140" xfId="0" quotePrefix="1" applyFont="1" applyBorder="1" applyAlignment="1">
      <alignment horizontal="center"/>
    </xf>
    <xf numFmtId="0" fontId="3" fillId="0" borderId="141" xfId="0" quotePrefix="1" applyFont="1" applyBorder="1" applyAlignment="1">
      <alignment horizontal="center"/>
    </xf>
    <xf numFmtId="0" fontId="3" fillId="0" borderId="154" xfId="0" applyFont="1" applyBorder="1" applyAlignment="1">
      <alignment horizontal="center"/>
    </xf>
    <xf numFmtId="0" fontId="3" fillId="0" borderId="155" xfId="0" applyFont="1" applyBorder="1" applyAlignment="1">
      <alignment horizontal="center"/>
    </xf>
    <xf numFmtId="0" fontId="3" fillId="0" borderId="156" xfId="0" applyFont="1" applyBorder="1" applyAlignment="1">
      <alignment horizontal="center"/>
    </xf>
    <xf numFmtId="183" fontId="3" fillId="0" borderId="135" xfId="0" quotePrefix="1" applyNumberFormat="1" applyFont="1" applyBorder="1" applyAlignment="1">
      <alignment horizontal="center"/>
    </xf>
    <xf numFmtId="183" fontId="3" fillId="0" borderId="0" xfId="0" quotePrefix="1" applyNumberFormat="1" applyFont="1" applyAlignment="1">
      <alignment horizontal="center"/>
    </xf>
    <xf numFmtId="183" fontId="3" fillId="0" borderId="11" xfId="0" quotePrefix="1" applyNumberFormat="1" applyFont="1" applyBorder="1" applyAlignment="1">
      <alignment horizontal="center"/>
    </xf>
    <xf numFmtId="0" fontId="3" fillId="0" borderId="0" xfId="0" applyFont="1" applyAlignment="1">
      <alignment horizontal="right"/>
    </xf>
    <xf numFmtId="0" fontId="0" fillId="0" borderId="138" xfId="0" applyBorder="1" applyAlignment="1">
      <alignment horizontal="center" vertical="center"/>
    </xf>
    <xf numFmtId="0" fontId="0" fillId="0" borderId="139" xfId="0" applyBorder="1" applyAlignment="1">
      <alignment horizontal="center" vertical="center"/>
    </xf>
    <xf numFmtId="0" fontId="0" fillId="0" borderId="135"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12" xfId="0" applyBorder="1" applyAlignment="1">
      <alignment horizontal="center" vertical="center"/>
    </xf>
    <xf numFmtId="176" fontId="36" fillId="0" borderId="137" xfId="0" quotePrefix="1" applyNumberFormat="1" applyFont="1" applyBorder="1" applyAlignment="1">
      <alignment horizontal="center"/>
    </xf>
    <xf numFmtId="176" fontId="36" fillId="0" borderId="138" xfId="0" quotePrefix="1" applyNumberFormat="1" applyFont="1" applyBorder="1" applyAlignment="1">
      <alignment horizontal="center"/>
    </xf>
    <xf numFmtId="176" fontId="36" fillId="0" borderId="139" xfId="0" quotePrefix="1" applyNumberFormat="1" applyFont="1" applyBorder="1" applyAlignment="1">
      <alignment horizontal="center"/>
    </xf>
    <xf numFmtId="176" fontId="36" fillId="0" borderId="137" xfId="0" applyNumberFormat="1" applyFont="1" applyBorder="1" applyAlignment="1">
      <alignment horizontal="center"/>
    </xf>
    <xf numFmtId="176" fontId="36" fillId="0" borderId="138" xfId="0" applyNumberFormat="1" applyFont="1" applyBorder="1" applyAlignment="1">
      <alignment horizontal="center"/>
    </xf>
    <xf numFmtId="176" fontId="36" fillId="0" borderId="139" xfId="0" applyNumberFormat="1" applyFont="1" applyBorder="1" applyAlignment="1">
      <alignment horizontal="center"/>
    </xf>
    <xf numFmtId="176" fontId="36" fillId="0" borderId="18" xfId="0" applyNumberFormat="1" applyFont="1" applyBorder="1" applyAlignment="1">
      <alignment horizontal="center"/>
    </xf>
    <xf numFmtId="176" fontId="36" fillId="0" borderId="19" xfId="0" applyNumberFormat="1" applyFont="1" applyBorder="1" applyAlignment="1">
      <alignment horizontal="center"/>
    </xf>
    <xf numFmtId="176" fontId="36" fillId="0" borderId="12" xfId="0" applyNumberFormat="1" applyFont="1" applyBorder="1" applyAlignment="1">
      <alignment horizontal="center"/>
    </xf>
    <xf numFmtId="186" fontId="16" fillId="0" borderId="0" xfId="0" applyNumberFormat="1" applyFont="1" applyAlignment="1">
      <alignment horizontal="center"/>
    </xf>
    <xf numFmtId="188" fontId="10" fillId="0" borderId="172" xfId="0" applyNumberFormat="1" applyFont="1" applyBorder="1" applyAlignment="1">
      <alignment horizontal="center" vertical="center" wrapText="1"/>
    </xf>
    <xf numFmtId="187" fontId="38" fillId="0" borderId="172" xfId="0" applyNumberFormat="1" applyFont="1" applyBorder="1" applyAlignment="1">
      <alignment horizontal="center" vertical="center" wrapText="1"/>
    </xf>
    <xf numFmtId="187" fontId="10" fillId="0" borderId="172" xfId="0" applyNumberFormat="1" applyFont="1" applyBorder="1" applyAlignment="1">
      <alignment horizontal="center" vertical="center" wrapText="1"/>
    </xf>
    <xf numFmtId="187" fontId="53" fillId="0" borderId="163" xfId="0" applyNumberFormat="1" applyFont="1" applyBorder="1" applyAlignment="1">
      <alignment horizontal="center" vertical="center" wrapText="1"/>
    </xf>
    <xf numFmtId="187" fontId="53" fillId="0" borderId="164" xfId="0" applyNumberFormat="1" applyFont="1" applyBorder="1" applyAlignment="1">
      <alignment horizontal="center" vertical="center" wrapText="1"/>
    </xf>
    <xf numFmtId="188" fontId="0" fillId="0" borderId="4" xfId="0" applyNumberFormat="1" applyBorder="1" applyAlignment="1">
      <alignment horizontal="center"/>
    </xf>
    <xf numFmtId="187" fontId="33" fillId="0" borderId="172" xfId="0" applyNumberFormat="1" applyFont="1" applyBorder="1" applyAlignment="1">
      <alignment horizontal="center" vertical="center" wrapText="1"/>
    </xf>
    <xf numFmtId="187" fontId="10" fillId="0" borderId="163" xfId="0" applyNumberFormat="1" applyFont="1" applyBorder="1" applyAlignment="1">
      <alignment horizontal="center" vertical="center" wrapText="1"/>
    </xf>
    <xf numFmtId="187" fontId="10" fillId="0" borderId="164" xfId="0" applyNumberFormat="1" applyFont="1" applyBorder="1" applyAlignment="1">
      <alignment horizontal="center" vertical="center" wrapText="1"/>
    </xf>
    <xf numFmtId="187" fontId="53" fillId="0" borderId="172" xfId="0" applyNumberFormat="1" applyFont="1" applyBorder="1" applyAlignment="1">
      <alignment horizontal="center" vertical="center" wrapText="1"/>
    </xf>
    <xf numFmtId="0" fontId="10" fillId="0" borderId="3" xfId="0" applyFont="1" applyBorder="1" applyAlignment="1">
      <alignment horizontal="justify" vertical="center" wrapText="1"/>
    </xf>
    <xf numFmtId="0" fontId="31" fillId="0" borderId="3" xfId="0" applyFont="1" applyBorder="1" applyAlignment="1">
      <alignment horizontal="left" vertical="center" wrapText="1"/>
    </xf>
    <xf numFmtId="0" fontId="31" fillId="0" borderId="3" xfId="0" applyFont="1" applyBorder="1" applyAlignment="1">
      <alignment horizontal="left" vertical="center" wrapText="1" indent="1"/>
    </xf>
    <xf numFmtId="0" fontId="16" fillId="0" borderId="0" xfId="0" applyFont="1" applyAlignment="1">
      <alignment horizontal="center"/>
    </xf>
    <xf numFmtId="0" fontId="10" fillId="0" borderId="10"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3"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5" xfId="0" applyFont="1" applyBorder="1" applyAlignment="1">
      <alignment horizontal="center" vertical="center" wrapText="1"/>
    </xf>
    <xf numFmtId="0" fontId="4" fillId="0" borderId="0" xfId="0" applyFont="1" applyAlignment="1">
      <alignment horizontal="center" vertical="center"/>
    </xf>
    <xf numFmtId="0" fontId="3" fillId="0" borderId="4" xfId="0" applyFont="1" applyBorder="1" applyAlignment="1">
      <alignment horizontal="right"/>
    </xf>
    <xf numFmtId="0" fontId="3" fillId="0" borderId="157" xfId="0" applyFont="1" applyBorder="1" applyAlignment="1">
      <alignment horizontal="left" vertical="center"/>
    </xf>
    <xf numFmtId="0" fontId="3" fillId="0" borderId="158" xfId="0" applyFont="1" applyBorder="1" applyAlignment="1">
      <alignment horizontal="left" vertical="center"/>
    </xf>
    <xf numFmtId="0" fontId="3" fillId="0" borderId="9" xfId="0" applyFont="1" applyBorder="1" applyAlignment="1">
      <alignment horizontal="left" vertical="center" wrapText="1"/>
    </xf>
    <xf numFmtId="0" fontId="3" fillId="0" borderId="126" xfId="0" applyFont="1" applyBorder="1" applyAlignment="1">
      <alignment horizontal="left" vertical="center" wrapText="1"/>
    </xf>
    <xf numFmtId="0" fontId="3" fillId="0" borderId="161" xfId="0" applyFont="1" applyBorder="1" applyAlignment="1">
      <alignment horizontal="left" vertical="center" wrapText="1"/>
    </xf>
    <xf numFmtId="0" fontId="3" fillId="0" borderId="10" xfId="0" applyFont="1" applyBorder="1" applyAlignment="1">
      <alignment horizontal="left" vertical="center" wrapText="1"/>
    </xf>
    <xf numFmtId="0" fontId="3" fillId="0" borderId="16" xfId="0" applyFont="1" applyBorder="1" applyAlignment="1">
      <alignment horizontal="left" vertical="center" wrapText="1"/>
    </xf>
    <xf numFmtId="0" fontId="3" fillId="0" borderId="15" xfId="0" applyFont="1" applyBorder="1" applyAlignment="1">
      <alignment horizontal="left" vertical="center" wrapText="1"/>
    </xf>
    <xf numFmtId="0" fontId="3" fillId="0" borderId="15" xfId="0" applyFont="1" applyBorder="1" applyAlignment="1">
      <alignment horizontal="center" vertical="center"/>
    </xf>
    <xf numFmtId="0" fontId="5" fillId="0" borderId="135" xfId="4" applyFont="1" applyBorder="1" applyAlignment="1">
      <alignment horizontal="center" vertical="center" shrinkToFit="1"/>
    </xf>
    <xf numFmtId="0" fontId="5" fillId="0" borderId="0" xfId="4" applyFont="1" applyAlignment="1">
      <alignment horizontal="center" vertical="center" shrinkToFit="1"/>
    </xf>
    <xf numFmtId="0" fontId="5" fillId="0" borderId="11" xfId="4" applyFont="1" applyBorder="1" applyAlignment="1">
      <alignment horizontal="center" vertical="center" shrinkToFit="1"/>
    </xf>
    <xf numFmtId="0" fontId="27" fillId="0" borderId="147" xfId="4" applyFont="1" applyBorder="1" applyAlignment="1">
      <alignment horizontal="right" vertical="center" shrinkToFit="1"/>
    </xf>
    <xf numFmtId="0" fontId="27" fillId="0" borderId="19" xfId="4" applyFont="1" applyBorder="1" applyAlignment="1">
      <alignment horizontal="right" vertical="center" shrinkToFit="1"/>
    </xf>
    <xf numFmtId="0" fontId="27" fillId="0" borderId="12" xfId="4" applyFont="1" applyBorder="1" applyAlignment="1">
      <alignment horizontal="right" vertical="center" shrinkToFit="1"/>
    </xf>
    <xf numFmtId="0" fontId="5" fillId="0" borderId="18" xfId="4" applyFont="1" applyBorder="1" applyAlignment="1">
      <alignment horizontal="center" vertical="center" shrinkToFit="1"/>
    </xf>
    <xf numFmtId="0" fontId="5" fillId="0" borderId="19" xfId="4" applyFont="1" applyBorder="1" applyAlignment="1">
      <alignment horizontal="center" vertical="center" shrinkToFit="1"/>
    </xf>
    <xf numFmtId="0" fontId="5" fillId="0" borderId="12" xfId="4" applyFont="1" applyBorder="1" applyAlignment="1">
      <alignment horizontal="center" vertical="center" shrinkToFit="1"/>
    </xf>
    <xf numFmtId="0" fontId="27" fillId="0" borderId="160" xfId="4" applyFont="1" applyBorder="1" applyAlignment="1">
      <alignment horizontal="center" vertical="center" shrinkToFit="1"/>
    </xf>
    <xf numFmtId="0" fontId="27" fillId="0" borderId="4" xfId="4" applyFont="1" applyBorder="1" applyAlignment="1">
      <alignment horizontal="center" vertical="center" shrinkToFit="1"/>
    </xf>
    <xf numFmtId="0" fontId="27" fillId="0" borderId="134" xfId="4" applyFont="1" applyBorder="1" applyAlignment="1">
      <alignment horizontal="center" vertical="center" shrinkToFit="1"/>
    </xf>
    <xf numFmtId="0" fontId="5" fillId="0" borderId="154" xfId="4" applyFont="1" applyBorder="1" applyAlignment="1">
      <alignment horizontal="center" vertical="center" shrinkToFit="1"/>
    </xf>
    <xf numFmtId="0" fontId="5" fillId="0" borderId="155" xfId="4" applyFont="1" applyBorder="1" applyAlignment="1">
      <alignment horizontal="center" vertical="center" shrinkToFit="1"/>
    </xf>
    <xf numFmtId="0" fontId="5" fillId="0" borderId="151" xfId="4" applyFont="1" applyBorder="1" applyAlignment="1">
      <alignment horizontal="center" vertical="center" shrinkToFit="1"/>
    </xf>
    <xf numFmtId="0" fontId="5" fillId="0" borderId="152" xfId="4" applyFont="1" applyBorder="1" applyAlignment="1">
      <alignment horizontal="center" vertical="center" shrinkToFit="1"/>
    </xf>
    <xf numFmtId="0" fontId="66" fillId="0" borderId="155" xfId="4" applyFont="1" applyBorder="1" applyAlignment="1">
      <alignment horizontal="center" vertical="center" shrinkToFit="1"/>
    </xf>
    <xf numFmtId="0" fontId="66" fillId="0" borderId="152" xfId="4" applyFont="1" applyBorder="1" applyAlignment="1">
      <alignment horizontal="center" vertical="center" shrinkToFit="1"/>
    </xf>
    <xf numFmtId="0" fontId="61" fillId="0" borderId="155" xfId="4" applyFont="1" applyBorder="1" applyAlignment="1">
      <alignment horizontal="center" vertical="center" shrinkToFit="1"/>
    </xf>
    <xf numFmtId="0" fontId="61" fillId="0" borderId="156" xfId="4" applyFont="1" applyBorder="1" applyAlignment="1">
      <alignment horizontal="center" vertical="center" shrinkToFit="1"/>
    </xf>
    <xf numFmtId="0" fontId="61" fillId="0" borderId="19" xfId="4" applyFont="1" applyBorder="1" applyAlignment="1">
      <alignment horizontal="center" vertical="center" shrinkToFit="1"/>
    </xf>
    <xf numFmtId="0" fontId="61" fillId="0" borderId="12" xfId="4" applyFont="1" applyBorder="1" applyAlignment="1">
      <alignment horizontal="center" vertical="center" shrinkToFit="1"/>
    </xf>
    <xf numFmtId="0" fontId="27" fillId="0" borderId="143" xfId="4" applyFont="1" applyBorder="1" applyAlignment="1">
      <alignment horizontal="center" vertical="center" shrinkToFit="1"/>
    </xf>
    <xf numFmtId="0" fontId="27" fillId="0" borderId="144" xfId="4" applyFont="1" applyBorder="1" applyAlignment="1">
      <alignment horizontal="center" vertical="center" shrinkToFit="1"/>
    </xf>
    <xf numFmtId="191" fontId="27" fillId="0" borderId="144" xfId="4" applyNumberFormat="1" applyFont="1" applyBorder="1" applyAlignment="1">
      <alignment horizontal="center" vertical="center" shrinkToFit="1"/>
    </xf>
    <xf numFmtId="9" fontId="27" fillId="0" borderId="144" xfId="4" applyNumberFormat="1" applyFont="1" applyBorder="1" applyAlignment="1">
      <alignment horizontal="center" vertical="center" shrinkToFit="1"/>
    </xf>
    <xf numFmtId="0" fontId="41" fillId="0" borderId="154" xfId="4" applyFont="1" applyBorder="1" applyAlignment="1">
      <alignment horizontal="left" vertical="center" wrapText="1" shrinkToFit="1"/>
    </xf>
    <xf numFmtId="0" fontId="41" fillId="0" borderId="155" xfId="4" applyFont="1" applyBorder="1" applyAlignment="1">
      <alignment horizontal="left" vertical="center" shrinkToFit="1"/>
    </xf>
    <xf numFmtId="0" fontId="41" fillId="0" borderId="156" xfId="4" applyFont="1" applyBorder="1" applyAlignment="1">
      <alignment horizontal="left" vertical="center" shrinkToFit="1"/>
    </xf>
    <xf numFmtId="0" fontId="41" fillId="0" borderId="151" xfId="4" applyFont="1" applyBorder="1" applyAlignment="1">
      <alignment horizontal="left" vertical="center" shrinkToFit="1"/>
    </xf>
    <xf numFmtId="0" fontId="41" fillId="0" borderId="152" xfId="4" applyFont="1" applyBorder="1" applyAlignment="1">
      <alignment horizontal="left" vertical="center" shrinkToFit="1"/>
    </xf>
    <xf numFmtId="0" fontId="41" fillId="0" borderId="153" xfId="4" applyFont="1" applyBorder="1" applyAlignment="1">
      <alignment horizontal="left" vertical="center" shrinkToFit="1"/>
    </xf>
    <xf numFmtId="0" fontId="41" fillId="0" borderId="155" xfId="4" applyFont="1" applyBorder="1" applyAlignment="1">
      <alignment horizontal="left" vertical="center" wrapText="1" shrinkToFit="1"/>
    </xf>
    <xf numFmtId="0" fontId="41" fillId="0" borderId="156" xfId="4" applyFont="1" applyBorder="1" applyAlignment="1">
      <alignment horizontal="left" vertical="center" wrapText="1" shrinkToFit="1"/>
    </xf>
    <xf numFmtId="0" fontId="41" fillId="0" borderId="151" xfId="4" applyFont="1" applyBorder="1" applyAlignment="1">
      <alignment horizontal="left" vertical="center" wrapText="1" shrinkToFit="1"/>
    </xf>
    <xf numFmtId="0" fontId="41" fillId="0" borderId="152" xfId="4" applyFont="1" applyBorder="1" applyAlignment="1">
      <alignment horizontal="left" vertical="center" wrapText="1" shrinkToFit="1"/>
    </xf>
    <xf numFmtId="0" fontId="41" fillId="0" borderId="153" xfId="4" applyFont="1" applyBorder="1" applyAlignment="1">
      <alignment horizontal="left" vertical="center" wrapText="1" shrinkToFit="1"/>
    </xf>
    <xf numFmtId="0" fontId="41" fillId="0" borderId="154" xfId="4" applyFont="1" applyBorder="1" applyAlignment="1">
      <alignment horizontal="right" vertical="center" shrinkToFit="1"/>
    </xf>
    <xf numFmtId="0" fontId="41" fillId="0" borderId="155" xfId="4" applyFont="1" applyBorder="1" applyAlignment="1">
      <alignment horizontal="right" vertical="center" shrinkToFit="1"/>
    </xf>
    <xf numFmtId="0" fontId="41" fillId="0" borderId="156" xfId="4" applyFont="1" applyBorder="1" applyAlignment="1">
      <alignment horizontal="right" vertical="center" shrinkToFit="1"/>
    </xf>
    <xf numFmtId="0" fontId="41" fillId="0" borderId="151" xfId="4" applyFont="1" applyBorder="1" applyAlignment="1">
      <alignment horizontal="right" vertical="center" shrinkToFit="1"/>
    </xf>
    <xf numFmtId="0" fontId="41" fillId="0" borderId="152" xfId="4" applyFont="1" applyBorder="1" applyAlignment="1">
      <alignment horizontal="right" vertical="center" shrinkToFit="1"/>
    </xf>
    <xf numFmtId="0" fontId="41" fillId="0" borderId="153" xfId="4" applyFont="1" applyBorder="1" applyAlignment="1">
      <alignment horizontal="right" vertical="center" shrinkToFit="1"/>
    </xf>
    <xf numFmtId="0" fontId="41" fillId="0" borderId="182" xfId="4" applyFont="1" applyBorder="1" applyAlignment="1">
      <alignment horizontal="center" vertical="center" textRotation="255"/>
    </xf>
    <xf numFmtId="0" fontId="41" fillId="0" borderId="183" xfId="4" applyFont="1" applyBorder="1" applyAlignment="1">
      <alignment horizontal="center" vertical="center" textRotation="255"/>
    </xf>
    <xf numFmtId="0" fontId="41" fillId="0" borderId="178" xfId="4" applyFont="1" applyBorder="1" applyAlignment="1">
      <alignment horizontal="center" vertical="center" textRotation="255"/>
    </xf>
    <xf numFmtId="0" fontId="41" fillId="0" borderId="177" xfId="4" applyFont="1" applyBorder="1" applyAlignment="1">
      <alignment horizontal="center" vertical="center" textRotation="255"/>
    </xf>
    <xf numFmtId="0" fontId="41" fillId="0" borderId="156" xfId="4" applyFont="1" applyBorder="1" applyAlignment="1">
      <alignment horizontal="center" vertical="center" textRotation="255"/>
    </xf>
    <xf numFmtId="0" fontId="41" fillId="0" borderId="11" xfId="4" applyFont="1" applyBorder="1" applyAlignment="1">
      <alignment horizontal="center" vertical="center" textRotation="255"/>
    </xf>
    <xf numFmtId="0" fontId="65" fillId="0" borderId="137" xfId="4" applyFont="1" applyBorder="1" applyAlignment="1">
      <alignment horizontal="left" vertical="center" shrinkToFit="1"/>
    </xf>
    <xf numFmtId="0" fontId="65" fillId="0" borderId="138" xfId="4" applyFont="1" applyBorder="1" applyAlignment="1">
      <alignment horizontal="left" vertical="center" shrinkToFit="1"/>
    </xf>
    <xf numFmtId="0" fontId="65" fillId="0" borderId="139" xfId="4" applyFont="1" applyBorder="1" applyAlignment="1">
      <alignment horizontal="left" vertical="center" shrinkToFit="1"/>
    </xf>
    <xf numFmtId="0" fontId="65" fillId="0" borderId="151" xfId="4" applyFont="1" applyBorder="1" applyAlignment="1">
      <alignment horizontal="left" vertical="center" shrinkToFit="1"/>
    </xf>
    <xf numFmtId="0" fontId="65" fillId="0" borderId="152" xfId="4" applyFont="1" applyBorder="1" applyAlignment="1">
      <alignment horizontal="left" vertical="center" shrinkToFit="1"/>
    </xf>
    <xf numFmtId="0" fontId="65" fillId="0" borderId="153" xfId="4" applyFont="1" applyBorder="1" applyAlignment="1">
      <alignment horizontal="left" vertical="center" shrinkToFit="1"/>
    </xf>
    <xf numFmtId="0" fontId="41" fillId="0" borderId="137" xfId="4" applyFont="1" applyBorder="1" applyAlignment="1">
      <alignment horizontal="left" vertical="center" shrinkToFit="1"/>
    </xf>
    <xf numFmtId="0" fontId="41" fillId="0" borderId="138" xfId="4" applyFont="1" applyBorder="1" applyAlignment="1">
      <alignment horizontal="left" vertical="center" shrinkToFit="1"/>
    </xf>
    <xf numFmtId="0" fontId="41" fillId="0" borderId="139" xfId="4" applyFont="1" applyBorder="1" applyAlignment="1">
      <alignment horizontal="left" vertical="center" shrinkToFit="1"/>
    </xf>
    <xf numFmtId="0" fontId="43" fillId="0" borderId="155" xfId="4" applyFont="1" applyBorder="1" applyAlignment="1">
      <alignment horizontal="center" vertical="center" textRotation="255"/>
    </xf>
    <xf numFmtId="0" fontId="43" fillId="0" borderId="183" xfId="4" applyFont="1" applyBorder="1" applyAlignment="1">
      <alignment horizontal="center" vertical="center" textRotation="255"/>
    </xf>
    <xf numFmtId="0" fontId="43" fillId="0" borderId="19" xfId="4" applyFont="1" applyBorder="1" applyAlignment="1">
      <alignment horizontal="center" vertical="center" textRotation="255"/>
    </xf>
    <xf numFmtId="0" fontId="43" fillId="0" borderId="180" xfId="4" applyFont="1" applyBorder="1" applyAlignment="1">
      <alignment horizontal="center" vertical="center" textRotation="255"/>
    </xf>
    <xf numFmtId="0" fontId="43" fillId="0" borderId="182" xfId="4" applyFont="1" applyBorder="1" applyAlignment="1">
      <alignment horizontal="center" vertical="center" textRotation="255"/>
    </xf>
    <xf numFmtId="0" fontId="43" fillId="0" borderId="178" xfId="4" applyFont="1" applyBorder="1" applyAlignment="1">
      <alignment horizontal="center" vertical="center" textRotation="255"/>
    </xf>
    <xf numFmtId="0" fontId="43" fillId="0" borderId="177" xfId="4" applyFont="1" applyBorder="1" applyAlignment="1">
      <alignment horizontal="center" vertical="center" textRotation="255"/>
    </xf>
    <xf numFmtId="0" fontId="43" fillId="0" borderId="0" xfId="4" applyFont="1" applyAlignment="1">
      <alignment horizontal="center" vertical="center" textRotation="255"/>
    </xf>
    <xf numFmtId="0" fontId="64" fillId="0" borderId="185" xfId="4" applyFont="1" applyBorder="1" applyAlignment="1">
      <alignment horizontal="center" vertical="distributed" textRotation="255" shrinkToFit="1"/>
    </xf>
    <xf numFmtId="0" fontId="5" fillId="0" borderId="182" xfId="4" applyFont="1" applyBorder="1" applyAlignment="1">
      <alignment horizontal="center" vertical="distributed" textRotation="255" shrinkToFit="1" readingOrder="1"/>
    </xf>
    <xf numFmtId="0" fontId="5" fillId="0" borderId="183" xfId="4" applyFont="1" applyBorder="1" applyAlignment="1">
      <alignment horizontal="center" vertical="distributed" textRotation="255" shrinkToFit="1" readingOrder="1"/>
    </xf>
    <xf numFmtId="0" fontId="5" fillId="0" borderId="178" xfId="4" applyFont="1" applyBorder="1" applyAlignment="1">
      <alignment horizontal="center" vertical="distributed" textRotation="255" shrinkToFit="1" readingOrder="1"/>
    </xf>
    <xf numFmtId="0" fontId="5" fillId="0" borderId="177" xfId="4" applyFont="1" applyBorder="1" applyAlignment="1">
      <alignment horizontal="center" vertical="distributed" textRotation="255" shrinkToFit="1" readingOrder="1"/>
    </xf>
    <xf numFmtId="0" fontId="5" fillId="0" borderId="184" xfId="4" applyFont="1" applyBorder="1" applyAlignment="1">
      <alignment horizontal="center" vertical="distributed" textRotation="255" shrinkToFit="1" readingOrder="1"/>
    </xf>
    <xf numFmtId="0" fontId="5" fillId="0" borderId="179" xfId="4" applyFont="1" applyBorder="1" applyAlignment="1">
      <alignment horizontal="center" vertical="distributed" textRotation="255" shrinkToFit="1" readingOrder="1"/>
    </xf>
    <xf numFmtId="0" fontId="64" fillId="0" borderId="196" xfId="4" applyFont="1" applyBorder="1" applyAlignment="1">
      <alignment horizontal="center" vertical="distributed" textRotation="255" shrinkToFit="1"/>
    </xf>
    <xf numFmtId="0" fontId="27" fillId="0" borderId="182" xfId="4" applyFont="1" applyBorder="1" applyAlignment="1">
      <alignment horizontal="center" vertical="distributed" textRotation="255" shrinkToFit="1"/>
    </xf>
    <xf numFmtId="0" fontId="27" fillId="0" borderId="183" xfId="4" applyFont="1" applyBorder="1" applyAlignment="1">
      <alignment horizontal="center" vertical="distributed" textRotation="255" shrinkToFit="1"/>
    </xf>
    <xf numFmtId="0" fontId="27" fillId="0" borderId="178" xfId="4" applyFont="1" applyBorder="1" applyAlignment="1">
      <alignment horizontal="center" vertical="distributed" textRotation="255" shrinkToFit="1"/>
    </xf>
    <xf numFmtId="0" fontId="27" fillId="0" borderId="177" xfId="4" applyFont="1" applyBorder="1" applyAlignment="1">
      <alignment horizontal="center" vertical="distributed" textRotation="255" shrinkToFit="1"/>
    </xf>
    <xf numFmtId="0" fontId="27" fillId="0" borderId="184" xfId="4" applyFont="1" applyBorder="1" applyAlignment="1">
      <alignment horizontal="center" vertical="distributed" textRotation="255" shrinkToFit="1"/>
    </xf>
    <xf numFmtId="0" fontId="27" fillId="0" borderId="179" xfId="4" applyFont="1" applyBorder="1" applyAlignment="1">
      <alignment horizontal="center" vertical="distributed" textRotation="255" shrinkToFit="1"/>
    </xf>
    <xf numFmtId="0" fontId="5" fillId="0" borderId="182" xfId="4" applyFont="1" applyBorder="1" applyAlignment="1">
      <alignment horizontal="center" vertical="distributed" textRotation="255" shrinkToFit="1"/>
    </xf>
    <xf numFmtId="0" fontId="5" fillId="0" borderId="183" xfId="4" applyFont="1" applyBorder="1" applyAlignment="1">
      <alignment horizontal="center" vertical="distributed" textRotation="255" shrinkToFit="1"/>
    </xf>
    <xf numFmtId="0" fontId="5" fillId="0" borderId="178" xfId="4" applyFont="1" applyBorder="1" applyAlignment="1">
      <alignment horizontal="center" vertical="distributed" textRotation="255" shrinkToFit="1"/>
    </xf>
    <xf numFmtId="0" fontId="5" fillId="0" borderId="177" xfId="4" applyFont="1" applyBorder="1" applyAlignment="1">
      <alignment horizontal="center" vertical="distributed" textRotation="255" shrinkToFit="1"/>
    </xf>
    <xf numFmtId="0" fontId="5" fillId="0" borderId="184" xfId="4" applyFont="1" applyBorder="1" applyAlignment="1">
      <alignment horizontal="center" vertical="distributed" textRotation="255" shrinkToFit="1"/>
    </xf>
    <xf numFmtId="0" fontId="5" fillId="0" borderId="179" xfId="4" applyFont="1" applyBorder="1" applyAlignment="1">
      <alignment horizontal="center" vertical="distributed" textRotation="255" shrinkToFit="1"/>
    </xf>
    <xf numFmtId="0" fontId="5" fillId="0" borderId="155" xfId="4" applyFont="1" applyBorder="1" applyAlignment="1">
      <alignment horizontal="center" vertical="distributed" textRotation="255" shrinkToFit="1"/>
    </xf>
    <xf numFmtId="0" fontId="5" fillId="0" borderId="0" xfId="4" applyFont="1" applyAlignment="1">
      <alignment horizontal="center" vertical="distributed" textRotation="255" shrinkToFit="1"/>
    </xf>
    <xf numFmtId="0" fontId="5" fillId="0" borderId="152" xfId="4" applyFont="1" applyBorder="1" applyAlignment="1">
      <alignment horizontal="center" vertical="distributed" textRotation="255" shrinkToFit="1"/>
    </xf>
    <xf numFmtId="0" fontId="41" fillId="0" borderId="155" xfId="4" applyFont="1" applyBorder="1" applyAlignment="1">
      <alignment horizontal="center" vertical="center" textRotation="255"/>
    </xf>
    <xf numFmtId="0" fontId="41" fillId="0" borderId="0" xfId="4" applyFont="1" applyAlignment="1">
      <alignment horizontal="center" vertical="center" textRotation="255"/>
    </xf>
    <xf numFmtId="0" fontId="5" fillId="0" borderId="176" xfId="4" applyFont="1" applyBorder="1" applyAlignment="1">
      <alignment horizontal="center" vertical="center"/>
    </xf>
    <xf numFmtId="0" fontId="5" fillId="0" borderId="138" xfId="4" applyFont="1" applyBorder="1" applyAlignment="1">
      <alignment horizontal="center" vertical="center"/>
    </xf>
    <xf numFmtId="0" fontId="5" fillId="0" borderId="175" xfId="4" applyFont="1" applyBorder="1" applyAlignment="1">
      <alignment horizontal="center" vertical="center"/>
    </xf>
    <xf numFmtId="0" fontId="5" fillId="0" borderId="184" xfId="4" applyFont="1" applyBorder="1" applyAlignment="1">
      <alignment horizontal="center" vertical="center"/>
    </xf>
    <xf numFmtId="0" fontId="5" fillId="0" borderId="152" xfId="4" applyFont="1" applyBorder="1" applyAlignment="1">
      <alignment horizontal="center" vertical="center"/>
    </xf>
    <xf numFmtId="0" fontId="5" fillId="0" borderId="179" xfId="4" applyFont="1" applyBorder="1" applyAlignment="1">
      <alignment horizontal="center" vertical="center"/>
    </xf>
    <xf numFmtId="0" fontId="63" fillId="0" borderId="189" xfId="4" applyFont="1" applyBorder="1" applyAlignment="1">
      <alignment horizontal="center" vertical="center"/>
    </xf>
    <xf numFmtId="0" fontId="63" fillId="0" borderId="190" xfId="4" applyFont="1" applyBorder="1" applyAlignment="1">
      <alignment horizontal="center" vertical="center"/>
    </xf>
    <xf numFmtId="0" fontId="63" fillId="0" borderId="185" xfId="4" applyFont="1" applyBorder="1" applyAlignment="1">
      <alignment horizontal="center" vertical="center"/>
    </xf>
    <xf numFmtId="0" fontId="63" fillId="0" borderId="196" xfId="4" applyFont="1" applyBorder="1" applyAlignment="1">
      <alignment horizontal="center" vertical="center"/>
    </xf>
    <xf numFmtId="0" fontId="27" fillId="0" borderId="156" xfId="4" applyFont="1" applyBorder="1" applyAlignment="1">
      <alignment horizontal="center" vertical="distributed" textRotation="255" shrinkToFit="1"/>
    </xf>
    <xf numFmtId="0" fontId="27" fillId="0" borderId="11" xfId="4" applyFont="1" applyBorder="1" applyAlignment="1">
      <alignment horizontal="center" vertical="distributed" textRotation="255" shrinkToFit="1"/>
    </xf>
    <xf numFmtId="0" fontId="27" fillId="0" borderId="153" xfId="4" applyFont="1" applyBorder="1" applyAlignment="1">
      <alignment horizontal="center" vertical="distributed" textRotation="255" shrinkToFit="1"/>
    </xf>
    <xf numFmtId="0" fontId="41" fillId="0" borderId="186" xfId="4" applyFont="1" applyBorder="1" applyAlignment="1">
      <alignment horizontal="center" vertical="center" shrinkToFit="1"/>
    </xf>
    <xf numFmtId="0" fontId="62" fillId="0" borderId="193" xfId="4" applyFont="1" applyBorder="1" applyAlignment="1">
      <alignment horizontal="center" vertical="center"/>
    </xf>
    <xf numFmtId="0" fontId="62" fillId="0" borderId="185" xfId="4" applyFont="1" applyBorder="1" applyAlignment="1">
      <alignment horizontal="center" vertical="center"/>
    </xf>
    <xf numFmtId="20" fontId="41" fillId="0" borderId="185" xfId="4" applyNumberFormat="1" applyFont="1" applyBorder="1" applyAlignment="1">
      <alignment horizontal="center" vertical="center" shrinkToFit="1"/>
    </xf>
    <xf numFmtId="0" fontId="41" fillId="0" borderId="185" xfId="4" applyFont="1" applyBorder="1" applyAlignment="1">
      <alignment horizontal="center" vertical="center" shrinkToFit="1"/>
    </xf>
    <xf numFmtId="0" fontId="41" fillId="0" borderId="195" xfId="4" applyFont="1" applyBorder="1" applyAlignment="1">
      <alignment horizontal="center" vertical="center" shrinkToFit="1"/>
    </xf>
    <xf numFmtId="0" fontId="62" fillId="0" borderId="186" xfId="4" applyFont="1" applyBorder="1" applyAlignment="1">
      <alignment horizontal="center" vertical="center" shrinkToFit="1"/>
    </xf>
    <xf numFmtId="0" fontId="62" fillId="0" borderId="198" xfId="4" applyFont="1" applyBorder="1" applyAlignment="1">
      <alignment horizontal="center" vertical="center" shrinkToFit="1"/>
    </xf>
    <xf numFmtId="0" fontId="55" fillId="0" borderId="135" xfId="4" applyFont="1" applyBorder="1" applyAlignment="1">
      <alignment horizontal="center" vertical="center" textRotation="255"/>
    </xf>
    <xf numFmtId="0" fontId="55" fillId="0" borderId="177" xfId="4" applyFont="1" applyBorder="1" applyAlignment="1">
      <alignment horizontal="center" vertical="center" textRotation="255"/>
    </xf>
    <xf numFmtId="0" fontId="5" fillId="0" borderId="178" xfId="4" applyFont="1" applyBorder="1" applyAlignment="1">
      <alignment horizontal="center" vertical="center"/>
    </xf>
    <xf numFmtId="0" fontId="5" fillId="0" borderId="0" xfId="4" applyFont="1" applyAlignment="1">
      <alignment horizontal="center" vertical="center"/>
    </xf>
    <xf numFmtId="0" fontId="5" fillId="0" borderId="11" xfId="4" applyFont="1" applyBorder="1" applyAlignment="1">
      <alignment horizontal="center" vertical="center"/>
    </xf>
    <xf numFmtId="0" fontId="5" fillId="0" borderId="153" xfId="4" applyFont="1" applyBorder="1" applyAlignment="1">
      <alignment horizontal="center" vertical="center"/>
    </xf>
    <xf numFmtId="0" fontId="41" fillId="0" borderId="194" xfId="4" applyFont="1" applyBorder="1" applyAlignment="1">
      <alignment horizontal="center" vertical="center" shrinkToFit="1"/>
    </xf>
    <xf numFmtId="0" fontId="41" fillId="0" borderId="144" xfId="4" applyFont="1" applyBorder="1" applyAlignment="1">
      <alignment horizontal="center" vertical="center" shrinkToFit="1"/>
    </xf>
    <xf numFmtId="0" fontId="62" fillId="0" borderId="195" xfId="4" applyFont="1" applyBorder="1" applyAlignment="1">
      <alignment horizontal="center" vertical="center" shrinkToFit="1"/>
    </xf>
    <xf numFmtId="0" fontId="62" fillId="0" borderId="185" xfId="4" applyFont="1" applyBorder="1" applyAlignment="1">
      <alignment horizontal="center" vertical="center" shrinkToFit="1"/>
    </xf>
    <xf numFmtId="0" fontId="62" fillId="0" borderId="196" xfId="4" applyFont="1" applyBorder="1" applyAlignment="1">
      <alignment horizontal="center" vertical="center" shrinkToFit="1"/>
    </xf>
    <xf numFmtId="0" fontId="62" fillId="0" borderId="197" xfId="4" applyFont="1" applyBorder="1" applyAlignment="1">
      <alignment horizontal="center" vertical="center"/>
    </xf>
    <xf numFmtId="0" fontId="62" fillId="0" borderId="186" xfId="4" applyFont="1" applyBorder="1" applyAlignment="1">
      <alignment horizontal="center" vertical="center"/>
    </xf>
    <xf numFmtId="56" fontId="41" fillId="0" borderId="195" xfId="4" applyNumberFormat="1" applyFont="1" applyBorder="1" applyAlignment="1">
      <alignment horizontal="center" vertical="center" shrinkToFit="1"/>
    </xf>
    <xf numFmtId="188" fontId="41" fillId="0" borderId="195" xfId="4" applyNumberFormat="1" applyFont="1" applyBorder="1" applyAlignment="1">
      <alignment horizontal="center" vertical="center" shrinkToFit="1"/>
    </xf>
    <xf numFmtId="188" fontId="41" fillId="0" borderId="185" xfId="4" applyNumberFormat="1" applyFont="1" applyBorder="1" applyAlignment="1">
      <alignment horizontal="center" vertical="center" shrinkToFit="1"/>
    </xf>
    <xf numFmtId="0" fontId="41" fillId="0" borderId="196" xfId="4" applyFont="1" applyBorder="1" applyAlignment="1">
      <alignment horizontal="center" vertical="center" shrinkToFit="1"/>
    </xf>
    <xf numFmtId="0" fontId="55" fillId="0" borderId="189" xfId="4" applyFont="1" applyBorder="1" applyAlignment="1">
      <alignment horizontal="center" vertical="center" shrinkToFit="1"/>
    </xf>
    <xf numFmtId="0" fontId="55" fillId="0" borderId="190" xfId="4" applyFont="1" applyBorder="1" applyAlignment="1">
      <alignment horizontal="center" vertical="center" shrinkToFit="1"/>
    </xf>
    <xf numFmtId="0" fontId="55" fillId="0" borderId="152" xfId="4" applyFont="1" applyBorder="1" applyAlignment="1">
      <alignment horizontal="center" vertical="center" shrinkToFit="1"/>
    </xf>
    <xf numFmtId="0" fontId="55" fillId="0" borderId="179" xfId="4" applyFont="1" applyBorder="1" applyAlignment="1">
      <alignment horizontal="center" vertical="center" shrinkToFit="1"/>
    </xf>
    <xf numFmtId="0" fontId="55" fillId="0" borderId="0" xfId="4" applyFont="1" applyAlignment="1">
      <alignment horizontal="center" vertical="center" shrinkToFit="1"/>
    </xf>
    <xf numFmtId="0" fontId="55" fillId="0" borderId="191" xfId="4" applyFont="1" applyBorder="1" applyAlignment="1">
      <alignment horizontal="center" vertical="center" shrinkToFit="1"/>
    </xf>
    <xf numFmtId="0" fontId="5" fillId="0" borderId="0" xfId="4" applyFont="1" applyAlignment="1">
      <alignment horizontal="center" vertical="distributed" shrinkToFit="1"/>
    </xf>
    <xf numFmtId="0" fontId="55" fillId="0" borderId="192" xfId="4" applyFont="1" applyBorder="1" applyAlignment="1">
      <alignment horizontal="center" vertical="center" shrinkToFit="1"/>
    </xf>
    <xf numFmtId="0" fontId="27" fillId="0" borderId="137" xfId="4" applyFont="1" applyBorder="1" applyAlignment="1">
      <alignment horizontal="center" vertical="center"/>
    </xf>
    <xf numFmtId="0" fontId="27" fillId="0" borderId="138" xfId="4" applyFont="1" applyBorder="1" applyAlignment="1">
      <alignment horizontal="center" vertical="center"/>
    </xf>
    <xf numFmtId="0" fontId="27" fillId="0" borderId="175" xfId="4" applyFont="1" applyBorder="1" applyAlignment="1">
      <alignment horizontal="center" vertical="center"/>
    </xf>
    <xf numFmtId="0" fontId="27" fillId="0" borderId="151" xfId="4" applyFont="1" applyBorder="1" applyAlignment="1">
      <alignment horizontal="center" vertical="center"/>
    </xf>
    <xf numFmtId="0" fontId="27" fillId="0" borderId="152" xfId="4" applyFont="1" applyBorder="1" applyAlignment="1">
      <alignment horizontal="center" vertical="center"/>
    </xf>
    <xf numFmtId="0" fontId="27" fillId="0" borderId="179" xfId="4" applyFont="1" applyBorder="1" applyAlignment="1">
      <alignment horizontal="center" vertical="center"/>
    </xf>
    <xf numFmtId="0" fontId="27" fillId="0" borderId="176" xfId="4" applyFont="1" applyBorder="1" applyAlignment="1">
      <alignment horizontal="center" vertical="center"/>
    </xf>
    <xf numFmtId="0" fontId="27" fillId="0" borderId="178" xfId="4" applyFont="1" applyBorder="1" applyAlignment="1">
      <alignment horizontal="center" vertical="center"/>
    </xf>
    <xf numFmtId="0" fontId="27" fillId="0" borderId="0" xfId="4" applyFont="1" applyAlignment="1">
      <alignment horizontal="center" vertical="center"/>
    </xf>
    <xf numFmtId="0" fontId="27" fillId="0" borderId="177" xfId="4" applyFont="1" applyBorder="1" applyAlignment="1">
      <alignment horizontal="center" vertical="center"/>
    </xf>
    <xf numFmtId="0" fontId="55" fillId="0" borderId="188" xfId="4" applyFont="1" applyBorder="1" applyAlignment="1">
      <alignment horizontal="center" vertical="center" shrinkToFit="1"/>
    </xf>
    <xf numFmtId="0" fontId="55" fillId="0" borderId="141" xfId="4" applyFont="1" applyBorder="1" applyAlignment="1">
      <alignment horizontal="center" vertical="center" shrinkToFit="1"/>
    </xf>
    <xf numFmtId="0" fontId="55" fillId="0" borderId="187" xfId="4" applyFont="1" applyBorder="1" applyAlignment="1">
      <alignment horizontal="center" vertical="center" shrinkToFit="1"/>
    </xf>
    <xf numFmtId="0" fontId="5" fillId="0" borderId="141" xfId="4" applyFont="1" applyBorder="1" applyAlignment="1">
      <alignment horizontal="center" vertical="distributed" shrinkToFit="1"/>
    </xf>
    <xf numFmtId="188" fontId="61" fillId="0" borderId="182" xfId="4" applyNumberFormat="1" applyFont="1" applyBorder="1" applyAlignment="1">
      <alignment horizontal="center" vertical="center" shrinkToFit="1"/>
    </xf>
    <xf numFmtId="188" fontId="61" fillId="0" borderId="155" xfId="4" applyNumberFormat="1" applyFont="1" applyBorder="1" applyAlignment="1">
      <alignment horizontal="center" vertical="center" shrinkToFit="1"/>
    </xf>
    <xf numFmtId="188" fontId="61" fillId="0" borderId="178" xfId="4" applyNumberFormat="1" applyFont="1" applyBorder="1" applyAlignment="1">
      <alignment horizontal="center" vertical="center" shrinkToFit="1"/>
    </xf>
    <xf numFmtId="188" fontId="61" fillId="0" borderId="0" xfId="4" applyNumberFormat="1" applyFont="1" applyAlignment="1">
      <alignment horizontal="center" vertical="center" shrinkToFit="1"/>
    </xf>
    <xf numFmtId="0" fontId="5" fillId="0" borderId="183" xfId="4" applyFont="1" applyBorder="1" applyAlignment="1">
      <alignment horizontal="center" vertical="center" shrinkToFit="1"/>
    </xf>
    <xf numFmtId="0" fontId="5" fillId="0" borderId="177" xfId="4" applyFont="1" applyBorder="1" applyAlignment="1">
      <alignment horizontal="center" vertical="center" shrinkToFit="1"/>
    </xf>
    <xf numFmtId="185" fontId="61" fillId="0" borderId="155" xfId="4" applyNumberFormat="1" applyFont="1" applyBorder="1" applyAlignment="1">
      <alignment horizontal="center" vertical="center" shrinkToFit="1"/>
    </xf>
    <xf numFmtId="185" fontId="61" fillId="0" borderId="0" xfId="4" applyNumberFormat="1" applyFont="1" applyAlignment="1">
      <alignment horizontal="center" vertical="center" shrinkToFit="1"/>
    </xf>
    <xf numFmtId="0" fontId="61" fillId="0" borderId="0" xfId="4" applyFont="1" applyAlignment="1">
      <alignment horizontal="center" vertical="center" shrinkToFit="1"/>
    </xf>
    <xf numFmtId="0" fontId="55" fillId="0" borderId="155" xfId="4" applyFont="1" applyBorder="1" applyAlignment="1">
      <alignment horizontal="center" vertical="center" shrinkToFit="1"/>
    </xf>
    <xf numFmtId="0" fontId="55" fillId="0" borderId="156" xfId="4" applyFont="1" applyBorder="1" applyAlignment="1">
      <alignment horizontal="center" vertical="center" shrinkToFit="1"/>
    </xf>
    <xf numFmtId="0" fontId="55" fillId="0" borderId="11" xfId="4" applyFont="1" applyBorder="1" applyAlignment="1">
      <alignment horizontal="center" vertical="center" shrinkToFit="1"/>
    </xf>
    <xf numFmtId="0" fontId="5" fillId="0" borderId="188" xfId="4" applyFont="1" applyBorder="1" applyAlignment="1">
      <alignment horizontal="center" vertical="center" shrinkToFit="1"/>
    </xf>
    <xf numFmtId="0" fontId="5" fillId="0" borderId="141" xfId="4" applyFont="1" applyBorder="1" applyAlignment="1">
      <alignment horizontal="center" vertical="center" shrinkToFit="1"/>
    </xf>
    <xf numFmtId="0" fontId="5" fillId="0" borderId="187" xfId="4" applyFont="1" applyBorder="1" applyAlignment="1">
      <alignment horizontal="center" vertical="center" shrinkToFit="1"/>
    </xf>
    <xf numFmtId="0" fontId="5" fillId="0" borderId="142" xfId="4" applyFont="1" applyBorder="1" applyAlignment="1">
      <alignment horizontal="center" vertical="center" shrinkToFit="1"/>
    </xf>
    <xf numFmtId="0" fontId="5" fillId="0" borderId="137" xfId="4" applyFont="1" applyBorder="1" applyAlignment="1">
      <alignment horizontal="center" vertical="center" shrinkToFit="1"/>
    </xf>
    <xf numFmtId="0" fontId="5" fillId="0" borderId="138" xfId="4" applyFont="1" applyBorder="1" applyAlignment="1">
      <alignment horizontal="center" vertical="center" shrinkToFit="1"/>
    </xf>
    <xf numFmtId="0" fontId="5" fillId="0" borderId="175" xfId="4" applyFont="1" applyBorder="1" applyAlignment="1">
      <alignment horizontal="center" vertical="center" shrinkToFit="1"/>
    </xf>
    <xf numFmtId="0" fontId="5" fillId="0" borderId="180" xfId="4" applyFont="1" applyBorder="1" applyAlignment="1">
      <alignment horizontal="center" vertical="center" shrinkToFit="1"/>
    </xf>
    <xf numFmtId="0" fontId="5" fillId="0" borderId="176" xfId="4" applyFont="1" applyBorder="1" applyAlignment="1">
      <alignment horizontal="center" vertical="center" shrinkToFit="1"/>
    </xf>
    <xf numFmtId="0" fontId="5" fillId="0" borderId="139" xfId="4" applyFont="1" applyBorder="1" applyAlignment="1">
      <alignment horizontal="center" vertical="center" shrinkToFit="1"/>
    </xf>
    <xf numFmtId="0" fontId="5" fillId="0" borderId="181" xfId="4" applyFont="1" applyBorder="1" applyAlignment="1">
      <alignment horizontal="center" vertical="center" shrinkToFit="1"/>
    </xf>
    <xf numFmtId="0" fontId="41" fillId="0" borderId="154" xfId="4" applyFont="1" applyBorder="1" applyAlignment="1">
      <alignment horizontal="center" vertical="center" shrinkToFit="1"/>
    </xf>
    <xf numFmtId="0" fontId="41" fillId="0" borderId="155" xfId="4" applyFont="1" applyBorder="1" applyAlignment="1">
      <alignment horizontal="center" vertical="center" shrinkToFit="1"/>
    </xf>
    <xf numFmtId="0" fontId="41" fillId="0" borderId="18" xfId="4" applyFont="1" applyBorder="1" applyAlignment="1">
      <alignment horizontal="center" vertical="center" shrinkToFit="1"/>
    </xf>
    <xf numFmtId="0" fontId="41" fillId="0" borderId="19" xfId="4" applyFont="1" applyBorder="1" applyAlignment="1">
      <alignment horizontal="center" vertical="center" shrinkToFit="1"/>
    </xf>
    <xf numFmtId="3" fontId="41" fillId="0" borderId="155" xfId="4" applyNumberFormat="1" applyFont="1" applyBorder="1" applyAlignment="1">
      <alignment horizontal="center" vertical="center" shrinkToFit="1"/>
    </xf>
    <xf numFmtId="3" fontId="41" fillId="0" borderId="19" xfId="4" applyNumberFormat="1" applyFont="1" applyBorder="1" applyAlignment="1">
      <alignment horizontal="center" vertical="center" shrinkToFit="1"/>
    </xf>
    <xf numFmtId="3" fontId="41" fillId="0" borderId="0" xfId="4" applyNumberFormat="1" applyFont="1" applyAlignment="1">
      <alignment horizontal="center" vertical="center" shrinkToFit="1"/>
    </xf>
    <xf numFmtId="3" fontId="55" fillId="0" borderId="155" xfId="4" applyNumberFormat="1" applyFont="1" applyBorder="1" applyAlignment="1">
      <alignment horizontal="center" vertical="center" shrinkToFit="1"/>
    </xf>
    <xf numFmtId="3" fontId="55" fillId="0" borderId="183" xfId="4" applyNumberFormat="1" applyFont="1" applyBorder="1" applyAlignment="1">
      <alignment horizontal="center" vertical="center" shrinkToFit="1"/>
    </xf>
    <xf numFmtId="3" fontId="55" fillId="0" borderId="0" xfId="4" applyNumberFormat="1" applyFont="1" applyAlignment="1">
      <alignment horizontal="center" vertical="center" shrinkToFit="1"/>
    </xf>
    <xf numFmtId="3" fontId="55" fillId="0" borderId="177" xfId="4" applyNumberFormat="1" applyFont="1" applyBorder="1" applyAlignment="1">
      <alignment horizontal="center" vertical="center" shrinkToFit="1"/>
    </xf>
    <xf numFmtId="0" fontId="55" fillId="0" borderId="154" xfId="4" applyFont="1" applyBorder="1" applyAlignment="1">
      <alignment horizontal="center" vertical="center" shrinkToFit="1"/>
    </xf>
    <xf numFmtId="0" fontId="55" fillId="0" borderId="183" xfId="4" applyFont="1" applyBorder="1" applyAlignment="1">
      <alignment horizontal="center" vertical="center" shrinkToFit="1"/>
    </xf>
    <xf numFmtId="0" fontId="55" fillId="0" borderId="151" xfId="4" applyFont="1" applyBorder="1" applyAlignment="1">
      <alignment horizontal="center" vertical="center" shrinkToFit="1"/>
    </xf>
    <xf numFmtId="182" fontId="41" fillId="0" borderId="155" xfId="4" applyNumberFormat="1" applyFont="1" applyBorder="1" applyAlignment="1">
      <alignment horizontal="center" vertical="center" shrinkToFit="1"/>
    </xf>
    <xf numFmtId="182" fontId="41" fillId="0" borderId="183" xfId="4" applyNumberFormat="1" applyFont="1" applyBorder="1" applyAlignment="1">
      <alignment horizontal="center" vertical="center" shrinkToFit="1"/>
    </xf>
    <xf numFmtId="182" fontId="41" fillId="0" borderId="152" xfId="4" applyNumberFormat="1" applyFont="1" applyBorder="1" applyAlignment="1">
      <alignment horizontal="center" vertical="center" shrinkToFit="1"/>
    </xf>
    <xf numFmtId="182" fontId="41" fillId="0" borderId="179" xfId="4" applyNumberFormat="1" applyFont="1" applyBorder="1" applyAlignment="1">
      <alignment horizontal="center" vertical="center" shrinkToFit="1"/>
    </xf>
    <xf numFmtId="0" fontId="55" fillId="0" borderId="135" xfId="4" applyFont="1" applyBorder="1" applyAlignment="1">
      <alignment horizontal="center" vertical="center" shrinkToFit="1"/>
    </xf>
    <xf numFmtId="0" fontId="55" fillId="0" borderId="177" xfId="4" applyFont="1" applyBorder="1" applyAlignment="1">
      <alignment horizontal="center" vertical="center" shrinkToFit="1"/>
    </xf>
    <xf numFmtId="0" fontId="55" fillId="0" borderId="18" xfId="4" applyFont="1" applyBorder="1" applyAlignment="1">
      <alignment horizontal="center" vertical="center" shrinkToFit="1"/>
    </xf>
    <xf numFmtId="0" fontId="55" fillId="0" borderId="19" xfId="4" applyFont="1" applyBorder="1" applyAlignment="1">
      <alignment horizontal="center" vertical="center" shrinkToFit="1"/>
    </xf>
    <xf numFmtId="0" fontId="55" fillId="0" borderId="180" xfId="4" applyFont="1" applyBorder="1" applyAlignment="1">
      <alignment horizontal="center" vertical="center" shrinkToFit="1"/>
    </xf>
    <xf numFmtId="182" fontId="41" fillId="0" borderId="0" xfId="4" applyNumberFormat="1" applyFont="1" applyAlignment="1">
      <alignment horizontal="center" vertical="center" shrinkToFit="1"/>
    </xf>
    <xf numFmtId="182" fontId="41" fillId="0" borderId="177" xfId="4" applyNumberFormat="1" applyFont="1" applyBorder="1" applyAlignment="1">
      <alignment horizontal="center" vertical="center" shrinkToFit="1"/>
    </xf>
    <xf numFmtId="182" fontId="41" fillId="0" borderId="19" xfId="4" applyNumberFormat="1" applyFont="1" applyBorder="1" applyAlignment="1">
      <alignment horizontal="center" vertical="center" shrinkToFit="1"/>
    </xf>
    <xf numFmtId="182" fontId="41" fillId="0" borderId="180" xfId="4" applyNumberFormat="1" applyFont="1" applyBorder="1" applyAlignment="1">
      <alignment horizontal="center" vertical="center" shrinkToFit="1"/>
    </xf>
    <xf numFmtId="0" fontId="41" fillId="0" borderId="0" xfId="4" applyFont="1" applyAlignment="1">
      <alignment horizontal="center" vertical="center" shrinkToFit="1"/>
    </xf>
    <xf numFmtId="0" fontId="41" fillId="0" borderId="11" xfId="4" applyFont="1" applyBorder="1" applyAlignment="1">
      <alignment horizontal="center" vertical="center" shrinkToFit="1"/>
    </xf>
    <xf numFmtId="0" fontId="41" fillId="0" borderId="12" xfId="4" applyFont="1" applyBorder="1" applyAlignment="1">
      <alignment horizontal="center" vertical="center" shrinkToFit="1"/>
    </xf>
    <xf numFmtId="0" fontId="5" fillId="0" borderId="153" xfId="4" applyFont="1" applyBorder="1" applyAlignment="1">
      <alignment horizontal="center" vertical="center" shrinkToFit="1"/>
    </xf>
    <xf numFmtId="0" fontId="61" fillId="0" borderId="18" xfId="4" applyFont="1" applyBorder="1" applyAlignment="1">
      <alignment horizontal="center" vertical="center" shrinkToFit="1"/>
    </xf>
    <xf numFmtId="0" fontId="5" fillId="0" borderId="140" xfId="4" applyFont="1" applyBorder="1" applyAlignment="1">
      <alignment horizontal="center" vertical="center" shrinkToFit="1"/>
    </xf>
    <xf numFmtId="0" fontId="5" fillId="0" borderId="179" xfId="4" applyFont="1" applyBorder="1" applyAlignment="1">
      <alignment horizontal="center" vertical="center" shrinkToFit="1"/>
    </xf>
    <xf numFmtId="0" fontId="41" fillId="0" borderId="183" xfId="4" applyFont="1" applyBorder="1" applyAlignment="1">
      <alignment horizontal="center" vertical="center" shrinkToFit="1"/>
    </xf>
    <xf numFmtId="0" fontId="41" fillId="0" borderId="152" xfId="4" applyFont="1" applyBorder="1" applyAlignment="1">
      <alignment horizontal="center" vertical="center" shrinkToFit="1"/>
    </xf>
    <xf numFmtId="0" fontId="41" fillId="0" borderId="179" xfId="4" applyFont="1" applyBorder="1" applyAlignment="1">
      <alignment horizontal="center" vertical="center" shrinkToFit="1"/>
    </xf>
    <xf numFmtId="184" fontId="41" fillId="0" borderId="182" xfId="4" applyNumberFormat="1" applyFont="1" applyBorder="1" applyAlignment="1">
      <alignment horizontal="center" vertical="center" shrinkToFit="1"/>
    </xf>
    <xf numFmtId="184" fontId="41" fillId="0" borderId="155" xfId="4" applyNumberFormat="1" applyFont="1" applyBorder="1" applyAlignment="1">
      <alignment horizontal="center" vertical="center" shrinkToFit="1"/>
    </xf>
    <xf numFmtId="184" fontId="41" fillId="0" borderId="181" xfId="4" applyNumberFormat="1" applyFont="1" applyBorder="1" applyAlignment="1">
      <alignment horizontal="center" vertical="center" shrinkToFit="1"/>
    </xf>
    <xf numFmtId="184" fontId="41" fillId="0" borderId="19" xfId="4" applyNumberFormat="1" applyFont="1" applyBorder="1" applyAlignment="1">
      <alignment horizontal="center" vertical="center" shrinkToFit="1"/>
    </xf>
    <xf numFmtId="184" fontId="41" fillId="0" borderId="185" xfId="4" applyNumberFormat="1" applyFont="1" applyBorder="1" applyAlignment="1">
      <alignment horizontal="center" vertical="center" shrinkToFit="1"/>
    </xf>
    <xf numFmtId="184" fontId="41" fillId="0" borderId="186" xfId="4" applyNumberFormat="1" applyFont="1" applyBorder="1" applyAlignment="1">
      <alignment horizontal="center" vertical="center" shrinkToFit="1"/>
    </xf>
    <xf numFmtId="0" fontId="55" fillId="0" borderId="185" xfId="4" applyFont="1" applyBorder="1" applyAlignment="1">
      <alignment horizontal="center" vertical="center" shrinkToFit="1"/>
    </xf>
    <xf numFmtId="56" fontId="41" fillId="0" borderId="182" xfId="4" applyNumberFormat="1" applyFont="1" applyBorder="1" applyAlignment="1">
      <alignment horizontal="center" vertical="center" shrinkToFit="1"/>
    </xf>
    <xf numFmtId="0" fontId="41" fillId="0" borderId="184" xfId="4" applyFont="1" applyBorder="1" applyAlignment="1">
      <alignment horizontal="center" vertical="center" shrinkToFit="1"/>
    </xf>
    <xf numFmtId="20" fontId="37" fillId="0" borderId="154" xfId="4" applyNumberFormat="1" applyFont="1" applyBorder="1" applyAlignment="1">
      <alignment horizontal="center" vertical="center" shrinkToFit="1"/>
    </xf>
    <xf numFmtId="20" fontId="37" fillId="0" borderId="155" xfId="4" applyNumberFormat="1" applyFont="1" applyBorder="1" applyAlignment="1">
      <alignment horizontal="center" vertical="center" shrinkToFit="1"/>
    </xf>
    <xf numFmtId="20" fontId="37" fillId="0" borderId="183" xfId="4" applyNumberFormat="1" applyFont="1" applyBorder="1" applyAlignment="1">
      <alignment horizontal="center" vertical="center" shrinkToFit="1"/>
    </xf>
    <xf numFmtId="20" fontId="37" fillId="0" borderId="135" xfId="4" applyNumberFormat="1" applyFont="1" applyBorder="1" applyAlignment="1">
      <alignment horizontal="center" vertical="center" shrinkToFit="1"/>
    </xf>
    <xf numFmtId="20" fontId="37" fillId="0" borderId="0" xfId="4" applyNumberFormat="1" applyFont="1" applyAlignment="1">
      <alignment horizontal="center" vertical="center" shrinkToFit="1"/>
    </xf>
    <xf numFmtId="20" fontId="37" fillId="0" borderId="177" xfId="4" applyNumberFormat="1" applyFont="1" applyBorder="1" applyAlignment="1">
      <alignment horizontal="center" vertical="center" shrinkToFit="1"/>
    </xf>
    <xf numFmtId="20" fontId="37" fillId="0" borderId="151" xfId="4" applyNumberFormat="1" applyFont="1" applyBorder="1" applyAlignment="1">
      <alignment horizontal="center" vertical="center" shrinkToFit="1"/>
    </xf>
    <xf numFmtId="20" fontId="37" fillId="0" borderId="152" xfId="4" applyNumberFormat="1" applyFont="1" applyBorder="1" applyAlignment="1">
      <alignment horizontal="center" vertical="center" shrinkToFit="1"/>
    </xf>
    <xf numFmtId="20" fontId="37" fillId="0" borderId="179" xfId="4" applyNumberFormat="1" applyFont="1" applyBorder="1" applyAlignment="1">
      <alignment horizontal="center" vertical="center" shrinkToFit="1"/>
    </xf>
    <xf numFmtId="20" fontId="37" fillId="0" borderId="182" xfId="4" applyNumberFormat="1" applyFont="1" applyBorder="1" applyAlignment="1">
      <alignment horizontal="center" vertical="center" shrinkToFit="1"/>
    </xf>
    <xf numFmtId="0" fontId="37" fillId="0" borderId="155" xfId="4" applyFont="1" applyBorder="1" applyAlignment="1">
      <alignment horizontal="center" vertical="center" shrinkToFit="1"/>
    </xf>
    <xf numFmtId="0" fontId="37" fillId="0" borderId="183" xfId="4" applyFont="1" applyBorder="1" applyAlignment="1">
      <alignment horizontal="center" vertical="center" shrinkToFit="1"/>
    </xf>
    <xf numFmtId="0" fontId="37" fillId="0" borderId="178" xfId="4" applyFont="1" applyBorder="1" applyAlignment="1">
      <alignment horizontal="center" vertical="center" shrinkToFit="1"/>
    </xf>
    <xf numFmtId="0" fontId="37" fillId="0" borderId="0" xfId="4" applyFont="1" applyAlignment="1">
      <alignment horizontal="center" vertical="center" shrinkToFit="1"/>
    </xf>
    <xf numFmtId="0" fontId="37" fillId="0" borderId="177" xfId="4" applyFont="1" applyBorder="1" applyAlignment="1">
      <alignment horizontal="center" vertical="center" shrinkToFit="1"/>
    </xf>
    <xf numFmtId="0" fontId="37" fillId="0" borderId="184" xfId="4" applyFont="1" applyBorder="1" applyAlignment="1">
      <alignment horizontal="center" vertical="center" shrinkToFit="1"/>
    </xf>
    <xf numFmtId="0" fontId="37" fillId="0" borderId="152" xfId="4" applyFont="1" applyBorder="1" applyAlignment="1">
      <alignment horizontal="center" vertical="center" shrinkToFit="1"/>
    </xf>
    <xf numFmtId="0" fontId="37" fillId="0" borderId="179" xfId="4" applyFont="1" applyBorder="1" applyAlignment="1">
      <alignment horizontal="center" vertical="center" shrinkToFit="1"/>
    </xf>
    <xf numFmtId="0" fontId="37" fillId="0" borderId="156" xfId="4" applyFont="1" applyBorder="1" applyAlignment="1">
      <alignment horizontal="center" vertical="center" shrinkToFit="1"/>
    </xf>
    <xf numFmtId="0" fontId="37" fillId="0" borderId="11" xfId="4" applyFont="1" applyBorder="1" applyAlignment="1">
      <alignment horizontal="center" vertical="center" shrinkToFit="1"/>
    </xf>
    <xf numFmtId="0" fontId="37" fillId="0" borderId="153" xfId="4" applyFont="1" applyBorder="1" applyAlignment="1">
      <alignment horizontal="center" vertical="center" shrinkToFit="1"/>
    </xf>
    <xf numFmtId="0" fontId="55" fillId="0" borderId="182" xfId="4" applyFont="1" applyBorder="1" applyAlignment="1">
      <alignment horizontal="center" vertical="center" shrinkToFit="1"/>
    </xf>
    <xf numFmtId="0" fontId="55" fillId="0" borderId="184" xfId="4" applyFont="1" applyBorder="1" applyAlignment="1">
      <alignment horizontal="center" vertical="center" shrinkToFit="1"/>
    </xf>
    <xf numFmtId="0" fontId="5" fillId="0" borderId="178" xfId="4" applyFont="1" applyBorder="1" applyAlignment="1">
      <alignment horizontal="center" vertical="center" shrinkToFit="1"/>
    </xf>
    <xf numFmtId="0" fontId="5" fillId="0" borderId="184" xfId="4" applyFont="1" applyBorder="1" applyAlignment="1">
      <alignment horizontal="center" vertical="center" shrinkToFit="1"/>
    </xf>
    <xf numFmtId="0" fontId="55" fillId="0" borderId="138" xfId="4" applyFont="1" applyBorder="1" applyAlignment="1">
      <alignment horizontal="center" vertical="center" shrinkToFit="1"/>
    </xf>
    <xf numFmtId="0" fontId="55" fillId="0" borderId="139" xfId="4" applyFont="1" applyBorder="1" applyAlignment="1">
      <alignment horizontal="center" vertical="center" shrinkToFit="1"/>
    </xf>
    <xf numFmtId="0" fontId="55" fillId="0" borderId="153" xfId="4" applyFont="1" applyBorder="1" applyAlignment="1">
      <alignment horizontal="center" vertical="center" shrinkToFit="1"/>
    </xf>
    <xf numFmtId="0" fontId="55" fillId="0" borderId="137" xfId="4" applyFont="1" applyBorder="1" applyAlignment="1">
      <alignment horizontal="center" vertical="center" shrinkToFit="1"/>
    </xf>
    <xf numFmtId="0" fontId="60" fillId="0" borderId="135" xfId="4" applyFont="1" applyBorder="1" applyAlignment="1">
      <alignment horizontal="center" vertical="center" shrinkToFit="1"/>
    </xf>
    <xf numFmtId="0" fontId="60" fillId="0" borderId="0" xfId="4" applyFont="1" applyAlignment="1">
      <alignment horizontal="center" vertical="center" shrinkToFit="1"/>
    </xf>
    <xf numFmtId="0" fontId="60" fillId="0" borderId="177" xfId="4" applyFont="1" applyBorder="1" applyAlignment="1">
      <alignment horizontal="center" vertical="center" shrinkToFit="1"/>
    </xf>
    <xf numFmtId="0" fontId="60" fillId="0" borderId="151" xfId="4" applyFont="1" applyBorder="1" applyAlignment="1">
      <alignment horizontal="center" vertical="center" shrinkToFit="1"/>
    </xf>
    <xf numFmtId="0" fontId="60" fillId="0" borderId="152" xfId="4" applyFont="1" applyBorder="1" applyAlignment="1">
      <alignment horizontal="center" vertical="center" shrinkToFit="1"/>
    </xf>
    <xf numFmtId="0" fontId="60" fillId="0" borderId="179" xfId="4" applyFont="1" applyBorder="1" applyAlignment="1">
      <alignment horizontal="center" vertical="center" shrinkToFit="1"/>
    </xf>
    <xf numFmtId="186" fontId="41" fillId="0" borderId="155" xfId="4" applyNumberFormat="1" applyFont="1" applyBorder="1" applyAlignment="1">
      <alignment horizontal="center" vertical="center" shrinkToFit="1"/>
    </xf>
    <xf numFmtId="186" fontId="41" fillId="0" borderId="156" xfId="4" applyNumberFormat="1" applyFont="1" applyBorder="1" applyAlignment="1">
      <alignment horizontal="center" vertical="center" shrinkToFit="1"/>
    </xf>
    <xf numFmtId="186" fontId="41" fillId="0" borderId="152" xfId="4" applyNumberFormat="1" applyFont="1" applyBorder="1" applyAlignment="1">
      <alignment horizontal="center" vertical="center" shrinkToFit="1"/>
    </xf>
    <xf numFmtId="186" fontId="41" fillId="0" borderId="153" xfId="4" applyNumberFormat="1" applyFont="1" applyBorder="1" applyAlignment="1">
      <alignment horizontal="center" vertical="center" shrinkToFit="1"/>
    </xf>
    <xf numFmtId="0" fontId="54" fillId="0" borderId="137" xfId="4" applyFont="1" applyBorder="1" applyAlignment="1">
      <alignment horizontal="center" vertical="center" shrinkToFit="1"/>
    </xf>
    <xf numFmtId="0" fontId="54" fillId="0" borderId="138" xfId="4" applyFont="1" applyBorder="1" applyAlignment="1">
      <alignment horizontal="center" vertical="center" shrinkToFit="1"/>
    </xf>
    <xf numFmtId="0" fontId="54" fillId="0" borderId="139" xfId="4" applyFont="1" applyBorder="1" applyAlignment="1">
      <alignment horizontal="center" vertical="center" shrinkToFit="1"/>
    </xf>
    <xf numFmtId="0" fontId="54" fillId="0" borderId="135" xfId="4" applyFont="1" applyBorder="1" applyAlignment="1">
      <alignment horizontal="center" vertical="center" shrinkToFit="1"/>
    </xf>
    <xf numFmtId="0" fontId="54" fillId="0" borderId="0" xfId="4" applyFont="1" applyAlignment="1">
      <alignment horizontal="center" vertical="center" shrinkToFit="1"/>
    </xf>
    <xf numFmtId="0" fontId="54" fillId="0" borderId="11" xfId="4" applyFont="1" applyBorder="1" applyAlignment="1">
      <alignment horizontal="center" vertical="center" shrinkToFit="1"/>
    </xf>
    <xf numFmtId="0" fontId="55" fillId="0" borderId="135" xfId="4" applyFont="1" applyBorder="1" applyAlignment="1">
      <alignment horizontal="center" vertical="top" shrinkToFit="1"/>
    </xf>
    <xf numFmtId="0" fontId="55" fillId="0" borderId="0" xfId="4" applyFont="1" applyAlignment="1">
      <alignment horizontal="center" vertical="top" shrinkToFit="1"/>
    </xf>
    <xf numFmtId="0" fontId="55" fillId="0" borderId="11" xfId="4" applyFont="1" applyBorder="1" applyAlignment="1">
      <alignment horizontal="center" vertical="top" shrinkToFit="1"/>
    </xf>
    <xf numFmtId="0" fontId="27" fillId="0" borderId="135" xfId="4" applyFont="1" applyBorder="1" applyAlignment="1">
      <alignment horizontal="left" vertical="center" shrinkToFit="1"/>
    </xf>
    <xf numFmtId="0" fontId="27" fillId="0" borderId="0" xfId="4" applyFont="1" applyAlignment="1">
      <alignment horizontal="left" vertical="center" shrinkToFit="1"/>
    </xf>
    <xf numFmtId="0" fontId="27" fillId="0" borderId="18" xfId="4" applyFont="1" applyBorder="1" applyAlignment="1">
      <alignment horizontal="left" vertical="center" shrinkToFit="1"/>
    </xf>
    <xf numFmtId="0" fontId="27" fillId="0" borderId="19" xfId="4" applyFont="1" applyBorder="1" applyAlignment="1">
      <alignment horizontal="left" vertical="center" shrinkToFit="1"/>
    </xf>
    <xf numFmtId="190" fontId="41" fillId="0" borderId="0" xfId="4" applyNumberFormat="1" applyFont="1" applyAlignment="1">
      <alignment horizontal="center" vertical="center" shrinkToFit="1"/>
    </xf>
    <xf numFmtId="190" fontId="41" fillId="0" borderId="11" xfId="4" applyNumberFormat="1" applyFont="1" applyBorder="1" applyAlignment="1">
      <alignment horizontal="center" vertical="center" shrinkToFit="1"/>
    </xf>
    <xf numFmtId="190" fontId="41" fillId="0" borderId="19" xfId="4" applyNumberFormat="1" applyFont="1" applyBorder="1" applyAlignment="1">
      <alignment horizontal="center" vertical="center" shrinkToFit="1"/>
    </xf>
    <xf numFmtId="190" fontId="41" fillId="0" borderId="12" xfId="4" applyNumberFormat="1" applyFont="1" applyBorder="1" applyAlignment="1">
      <alignment horizontal="center" vertical="center" shrinkToFit="1"/>
    </xf>
    <xf numFmtId="0" fontId="55" fillId="0" borderId="176" xfId="4" applyFont="1" applyBorder="1" applyAlignment="1">
      <alignment horizontal="right" shrinkToFit="1"/>
    </xf>
    <xf numFmtId="0" fontId="55" fillId="0" borderId="138" xfId="4" applyFont="1" applyBorder="1" applyAlignment="1">
      <alignment horizontal="right" shrinkToFit="1"/>
    </xf>
    <xf numFmtId="0" fontId="55" fillId="0" borderId="139" xfId="4" applyFont="1" applyBorder="1" applyAlignment="1">
      <alignment horizontal="right" shrinkToFit="1"/>
    </xf>
    <xf numFmtId="0" fontId="55" fillId="0" borderId="178" xfId="4" applyFont="1" applyBorder="1" applyAlignment="1">
      <alignment horizontal="right" shrinkToFit="1"/>
    </xf>
    <xf numFmtId="0" fontId="55" fillId="0" borderId="0" xfId="4" applyFont="1" applyAlignment="1">
      <alignment horizontal="right" shrinkToFit="1"/>
    </xf>
    <xf numFmtId="0" fontId="55" fillId="0" borderId="11" xfId="4" applyFont="1" applyBorder="1" applyAlignment="1">
      <alignment horizontal="right" shrinkToFit="1"/>
    </xf>
    <xf numFmtId="0" fontId="55" fillId="0" borderId="181" xfId="4" applyFont="1" applyBorder="1" applyAlignment="1">
      <alignment horizontal="right" shrinkToFit="1"/>
    </xf>
    <xf numFmtId="0" fontId="55" fillId="0" borderId="19" xfId="4" applyFont="1" applyBorder="1" applyAlignment="1">
      <alignment horizontal="right" shrinkToFit="1"/>
    </xf>
    <xf numFmtId="0" fontId="55" fillId="0" borderId="12" xfId="4" applyFont="1" applyBorder="1" applyAlignment="1">
      <alignment horizontal="right" shrinkToFit="1"/>
    </xf>
    <xf numFmtId="0" fontId="27" fillId="0" borderId="137" xfId="4" applyFont="1" applyBorder="1" applyAlignment="1">
      <alignment horizontal="center" vertical="center" shrinkToFit="1"/>
    </xf>
    <xf numFmtId="0" fontId="27" fillId="0" borderId="138" xfId="4" applyFont="1" applyBorder="1" applyAlignment="1">
      <alignment horizontal="center" vertical="center" shrinkToFit="1"/>
    </xf>
    <xf numFmtId="0" fontId="27" fillId="0" borderId="175" xfId="4" applyFont="1" applyBorder="1" applyAlignment="1">
      <alignment horizontal="center" vertical="center" shrinkToFit="1"/>
    </xf>
    <xf numFmtId="0" fontId="27" fillId="0" borderId="135" xfId="4" applyFont="1" applyBorder="1" applyAlignment="1">
      <alignment horizontal="center" vertical="center" shrinkToFit="1"/>
    </xf>
    <xf numFmtId="0" fontId="27" fillId="0" borderId="0" xfId="4" applyFont="1" applyAlignment="1">
      <alignment horizontal="center" vertical="center" shrinkToFit="1"/>
    </xf>
    <xf numFmtId="0" fontId="27" fillId="0" borderId="177" xfId="4" applyFont="1" applyBorder="1" applyAlignment="1">
      <alignment horizontal="center" vertical="center" shrinkToFit="1"/>
    </xf>
    <xf numFmtId="0" fontId="58" fillId="0" borderId="135" xfId="4" applyFont="1" applyBorder="1" applyAlignment="1">
      <alignment horizontal="center" vertical="center" shrinkToFit="1"/>
    </xf>
    <xf numFmtId="0" fontId="58" fillId="0" borderId="0" xfId="4" applyFont="1" applyAlignment="1">
      <alignment horizontal="center" vertical="center" shrinkToFit="1"/>
    </xf>
    <xf numFmtId="0" fontId="58" fillId="0" borderId="18" xfId="4" applyFont="1" applyBorder="1" applyAlignment="1">
      <alignment horizontal="center" vertical="center" shrinkToFit="1"/>
    </xf>
    <xf numFmtId="0" fontId="58" fillId="0" borderId="19" xfId="4" applyFont="1" applyBorder="1" applyAlignment="1">
      <alignment horizontal="center" vertical="center" shrinkToFit="1"/>
    </xf>
    <xf numFmtId="0" fontId="57" fillId="0" borderId="0" xfId="4" applyFont="1" applyAlignment="1">
      <alignment horizontal="center" vertical="center" shrinkToFit="1"/>
    </xf>
    <xf numFmtId="0" fontId="57" fillId="0" borderId="177" xfId="4" applyFont="1" applyBorder="1" applyAlignment="1">
      <alignment horizontal="center" vertical="center" shrinkToFit="1"/>
    </xf>
    <xf numFmtId="0" fontId="57" fillId="0" borderId="19" xfId="4" applyFont="1" applyBorder="1" applyAlignment="1">
      <alignment horizontal="center" vertical="center" shrinkToFit="1"/>
    </xf>
    <xf numFmtId="0" fontId="57" fillId="0" borderId="180" xfId="4" applyFont="1" applyBorder="1" applyAlignment="1">
      <alignment horizontal="center" vertical="center" shrinkToFit="1"/>
    </xf>
    <xf numFmtId="0" fontId="59" fillId="0" borderId="135" xfId="4" applyFont="1" applyBorder="1" applyAlignment="1">
      <alignment horizontal="center" vertical="center" shrinkToFit="1"/>
    </xf>
    <xf numFmtId="0" fontId="59" fillId="0" borderId="0" xfId="4" applyFont="1" applyAlignment="1">
      <alignment horizontal="center" vertical="center" shrinkToFit="1"/>
    </xf>
    <xf numFmtId="0" fontId="59" fillId="0" borderId="177" xfId="4" applyFont="1" applyBorder="1" applyAlignment="1">
      <alignment horizontal="center" vertical="center" shrinkToFit="1"/>
    </xf>
    <xf numFmtId="0" fontId="59" fillId="0" borderId="151" xfId="4" applyFont="1" applyBorder="1" applyAlignment="1">
      <alignment horizontal="center" vertical="center" shrinkToFit="1"/>
    </xf>
    <xf numFmtId="0" fontId="59" fillId="0" borderId="152" xfId="4" applyFont="1" applyBorder="1" applyAlignment="1">
      <alignment horizontal="center" vertical="center" shrinkToFit="1"/>
    </xf>
    <xf numFmtId="0" fontId="59" fillId="0" borderId="179" xfId="4" applyFont="1" applyBorder="1" applyAlignment="1">
      <alignment horizontal="center" vertical="center" shrinkToFit="1"/>
    </xf>
    <xf numFmtId="0" fontId="27" fillId="0" borderId="18" xfId="4" applyFont="1" applyBorder="1" applyAlignment="1">
      <alignment horizontal="center" vertical="center" shrinkToFit="1"/>
    </xf>
    <xf numFmtId="0" fontId="27" fillId="0" borderId="19" xfId="4" applyFont="1" applyBorder="1" applyAlignment="1">
      <alignment horizontal="center" vertical="center" shrinkToFit="1"/>
    </xf>
    <xf numFmtId="0" fontId="6" fillId="0" borderId="0" xfId="4" applyFont="1" applyAlignment="1">
      <alignment horizontal="center" vertical="center" shrinkToFit="1"/>
    </xf>
    <xf numFmtId="0" fontId="6" fillId="0" borderId="177" xfId="4" applyFont="1" applyBorder="1" applyAlignment="1">
      <alignment horizontal="center" vertical="center" shrinkToFit="1"/>
    </xf>
    <xf numFmtId="0" fontId="6" fillId="0" borderId="19" xfId="4" applyFont="1" applyBorder="1" applyAlignment="1">
      <alignment horizontal="center" vertical="center" shrinkToFit="1"/>
    </xf>
    <xf numFmtId="0" fontId="6" fillId="0" borderId="180" xfId="4" applyFont="1" applyBorder="1" applyAlignment="1">
      <alignment horizontal="center" vertical="center" shrinkToFit="1"/>
    </xf>
    <xf numFmtId="0" fontId="46" fillId="0" borderId="0" xfId="3" applyFont="1" applyAlignment="1">
      <alignment horizontal="center" vertical="center" wrapText="1"/>
    </xf>
    <xf numFmtId="0" fontId="45" fillId="0" borderId="0" xfId="3" applyFont="1" applyAlignment="1">
      <alignment horizontal="center" vertical="center" wrapText="1"/>
    </xf>
    <xf numFmtId="0" fontId="47" fillId="0" borderId="0" xfId="3" applyFont="1" applyAlignment="1">
      <alignment horizontal="center" vertical="center" wrapText="1"/>
    </xf>
    <xf numFmtId="0" fontId="45" fillId="0" borderId="0" xfId="3" applyFont="1" applyAlignment="1">
      <alignment horizontal="center" vertical="center" shrinkToFit="1"/>
    </xf>
    <xf numFmtId="0" fontId="45" fillId="0" borderId="0" xfId="3" applyFont="1" applyAlignment="1">
      <alignment horizontal="left" vertical="center" shrinkToFit="1"/>
    </xf>
    <xf numFmtId="0" fontId="3" fillId="0" borderId="0" xfId="3" applyFont="1" applyAlignment="1">
      <alignment horizontal="left" vertical="center" shrinkToFit="1"/>
    </xf>
    <xf numFmtId="0" fontId="51" fillId="0" borderId="0" xfId="3" applyFont="1" applyAlignment="1">
      <alignment horizontal="center" vertical="center" wrapText="1"/>
    </xf>
    <xf numFmtId="0" fontId="45" fillId="0" borderId="0" xfId="3" applyFont="1" applyAlignment="1">
      <alignment horizontal="left" vertical="center" wrapText="1"/>
    </xf>
    <xf numFmtId="56" fontId="41" fillId="0" borderId="182" xfId="0" applyNumberFormat="1" applyFont="1" applyBorder="1" applyAlignment="1">
      <alignment horizontal="center" vertical="center" shrinkToFit="1"/>
    </xf>
    <xf numFmtId="0" fontId="41" fillId="0" borderId="155" xfId="0" applyFont="1" applyBorder="1" applyAlignment="1">
      <alignment horizontal="center" vertical="center" shrinkToFit="1"/>
    </xf>
    <xf numFmtId="0" fontId="41" fillId="0" borderId="183" xfId="0" applyFont="1" applyBorder="1" applyAlignment="1">
      <alignment horizontal="center" vertical="center" shrinkToFit="1"/>
    </xf>
    <xf numFmtId="0" fontId="41" fillId="0" borderId="184" xfId="0" applyFont="1" applyBorder="1" applyAlignment="1">
      <alignment horizontal="center" vertical="center" shrinkToFit="1"/>
    </xf>
    <xf numFmtId="0" fontId="41" fillId="0" borderId="152" xfId="0" applyFont="1" applyBorder="1" applyAlignment="1">
      <alignment horizontal="center" vertical="center" shrinkToFit="1"/>
    </xf>
    <xf numFmtId="0" fontId="41" fillId="0" borderId="179" xfId="0" applyFont="1" applyBorder="1" applyAlignment="1">
      <alignment horizontal="center" vertical="center" shrinkToFit="1"/>
    </xf>
    <xf numFmtId="182" fontId="41" fillId="0" borderId="155" xfId="0" applyNumberFormat="1" applyFont="1" applyBorder="1" applyAlignment="1">
      <alignment horizontal="center" vertical="center" shrinkToFit="1"/>
    </xf>
    <xf numFmtId="182" fontId="41" fillId="0" borderId="183" xfId="0" applyNumberFormat="1" applyFont="1" applyBorder="1" applyAlignment="1">
      <alignment horizontal="center" vertical="center" shrinkToFit="1"/>
    </xf>
    <xf numFmtId="182" fontId="41" fillId="0" borderId="152" xfId="0" applyNumberFormat="1" applyFont="1" applyBorder="1" applyAlignment="1">
      <alignment horizontal="center" vertical="center" shrinkToFit="1"/>
    </xf>
    <xf numFmtId="182" fontId="41" fillId="0" borderId="179" xfId="0" applyNumberFormat="1" applyFont="1" applyBorder="1" applyAlignment="1">
      <alignment horizontal="center" vertical="center" shrinkToFit="1"/>
    </xf>
    <xf numFmtId="182" fontId="41" fillId="0" borderId="0" xfId="0" applyNumberFormat="1" applyFont="1" applyAlignment="1">
      <alignment horizontal="center" vertical="center" shrinkToFit="1"/>
    </xf>
    <xf numFmtId="182" fontId="41" fillId="0" borderId="177" xfId="0" applyNumberFormat="1" applyFont="1" applyBorder="1" applyAlignment="1">
      <alignment horizontal="center" vertical="center" shrinkToFit="1"/>
    </xf>
    <xf numFmtId="182" fontId="41" fillId="0" borderId="19" xfId="0" applyNumberFormat="1" applyFont="1" applyBorder="1" applyAlignment="1">
      <alignment horizontal="center" vertical="center" shrinkToFit="1"/>
    </xf>
    <xf numFmtId="182" fontId="41" fillId="0" borderId="180" xfId="0" applyNumberFormat="1" applyFont="1" applyBorder="1" applyAlignment="1">
      <alignment horizontal="center" vertical="center" shrinkToFit="1"/>
    </xf>
  </cellXfs>
  <cellStyles count="5">
    <cellStyle name="標準" xfId="0" builtinId="0"/>
    <cellStyle name="標準 2" xfId="1" xr:uid="{234CEEF2-BA6A-4EBB-AA60-3BA2C641F324}"/>
    <cellStyle name="標準 3" xfId="2" xr:uid="{88945E21-F10A-4A34-B598-137E8A4968B4}"/>
    <cellStyle name="標準 4" xfId="3" xr:uid="{E5F3504E-AF6F-4774-B08D-3B76051D6E1A}"/>
    <cellStyle name="標準 5" xfId="4" xr:uid="{52AB5116-CD6D-4D4D-893A-46761F72A7FF}"/>
  </cellStyles>
  <dxfs count="12">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s>
  <tableStyles count="0" defaultTableStyle="TableStyleMedium2" defaultPivotStyle="PivotStyleLight16"/>
  <colors>
    <mruColors>
      <color rgb="FF0000FF"/>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3&#26522;&#21488;&#24115;&#20001;&#38754;&#29992;'!A1"/><Relationship Id="rId3" Type="http://schemas.openxmlformats.org/officeDocument/2006/relationships/hyperlink" Target="#&#34920;&#32025;!A1"/><Relationship Id="rId7" Type="http://schemas.openxmlformats.org/officeDocument/2006/relationships/hyperlink" Target="#'6&#26522;&#21488;&#24115;'!A1"/><Relationship Id="rId2" Type="http://schemas.openxmlformats.org/officeDocument/2006/relationships/hyperlink" Target="#&#22522;&#26412;&#12487;&#12540;&#12479;!A1"/><Relationship Id="rId1" Type="http://schemas.openxmlformats.org/officeDocument/2006/relationships/image" Target="../media/image3.jpeg"/><Relationship Id="rId6" Type="http://schemas.openxmlformats.org/officeDocument/2006/relationships/hyperlink" Target="#&#29992;&#32025;&#22793;&#26356;"/><Relationship Id="rId5" Type="http://schemas.openxmlformats.org/officeDocument/2006/relationships/hyperlink" Target="#'3&#26522;&#21488;&#24115;'!A1"/><Relationship Id="rId10" Type="http://schemas.openxmlformats.org/officeDocument/2006/relationships/image" Target="../media/image5.jpeg"/><Relationship Id="rId4" Type="http://schemas.openxmlformats.org/officeDocument/2006/relationships/hyperlink" Target="#&#22577;&#21578;&#26360;!A1"/><Relationship Id="rId9"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5</xdr:col>
      <xdr:colOff>1717535</xdr:colOff>
      <xdr:row>6</xdr:row>
      <xdr:rowOff>118301</xdr:rowOff>
    </xdr:from>
    <xdr:to>
      <xdr:col>6</xdr:col>
      <xdr:colOff>530088</xdr:colOff>
      <xdr:row>9</xdr:row>
      <xdr:rowOff>71919</xdr:rowOff>
    </xdr:to>
    <xdr:pic>
      <xdr:nvPicPr>
        <xdr:cNvPr id="2" name="図 1">
          <a:extLst>
            <a:ext uri="{FF2B5EF4-FFF2-40B4-BE49-F238E27FC236}">
              <a16:creationId xmlns:a16="http://schemas.microsoft.com/office/drawing/2014/main" id="{ABB021CB-9054-4B7D-919B-1D13C2C668B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8535" y="1147001"/>
          <a:ext cx="650878" cy="5822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59348</xdr:colOff>
      <xdr:row>6</xdr:row>
      <xdr:rowOff>74735</xdr:rowOff>
    </xdr:from>
    <xdr:to>
      <xdr:col>8</xdr:col>
      <xdr:colOff>192698</xdr:colOff>
      <xdr:row>8</xdr:row>
      <xdr:rowOff>255710</xdr:rowOff>
    </xdr:to>
    <xdr:sp macro="" textlink="">
      <xdr:nvSpPr>
        <xdr:cNvPr id="4" name="右中かっこ 1">
          <a:extLst>
            <a:ext uri="{FF2B5EF4-FFF2-40B4-BE49-F238E27FC236}">
              <a16:creationId xmlns:a16="http://schemas.microsoft.com/office/drawing/2014/main" id="{00000000-0008-0000-0200-000004000000}"/>
            </a:ext>
          </a:extLst>
        </xdr:cNvPr>
        <xdr:cNvSpPr>
          <a:spLocks/>
        </xdr:cNvSpPr>
      </xdr:nvSpPr>
      <xdr:spPr bwMode="auto">
        <a:xfrm>
          <a:off x="5276117" y="1356947"/>
          <a:ext cx="133350" cy="811090"/>
        </a:xfrm>
        <a:prstGeom prst="rightBrace">
          <a:avLst>
            <a:gd name="adj1" fmla="val 8365"/>
            <a:gd name="adj2" fmla="val 50000"/>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438150</xdr:colOff>
      <xdr:row>24</xdr:row>
      <xdr:rowOff>171450</xdr:rowOff>
    </xdr:from>
    <xdr:to>
      <xdr:col>3</xdr:col>
      <xdr:colOff>333375</xdr:colOff>
      <xdr:row>27</xdr:row>
      <xdr:rowOff>219075</xdr:rowOff>
    </xdr:to>
    <xdr:sp macro="" textlink="">
      <xdr:nvSpPr>
        <xdr:cNvPr id="2" name="AutoShape 1">
          <a:extLst>
            <a:ext uri="{FF2B5EF4-FFF2-40B4-BE49-F238E27FC236}">
              <a16:creationId xmlns:a16="http://schemas.microsoft.com/office/drawing/2014/main" id="{C98B28D3-2558-41D0-911E-F8275B16F1A4}"/>
            </a:ext>
          </a:extLst>
        </xdr:cNvPr>
        <xdr:cNvSpPr>
          <a:spLocks noChangeAspect="1" noChangeArrowheads="1"/>
        </xdr:cNvSpPr>
      </xdr:nvSpPr>
      <xdr:spPr bwMode="auto">
        <a:xfrm>
          <a:off x="2914650" y="6286500"/>
          <a:ext cx="1009650" cy="990600"/>
        </a:xfrm>
        <a:prstGeom prst="flowChartOr">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704850</xdr:colOff>
      <xdr:row>24</xdr:row>
      <xdr:rowOff>238125</xdr:rowOff>
    </xdr:from>
    <xdr:to>
      <xdr:col>2</xdr:col>
      <xdr:colOff>942975</xdr:colOff>
      <xdr:row>26</xdr:row>
      <xdr:rowOff>38100</xdr:rowOff>
    </xdr:to>
    <xdr:sp macro="" textlink="">
      <xdr:nvSpPr>
        <xdr:cNvPr id="3" name="Line 2">
          <a:extLst>
            <a:ext uri="{FF2B5EF4-FFF2-40B4-BE49-F238E27FC236}">
              <a16:creationId xmlns:a16="http://schemas.microsoft.com/office/drawing/2014/main" id="{67272129-D2F3-44B8-B2AA-F60718EC6162}"/>
            </a:ext>
          </a:extLst>
        </xdr:cNvPr>
        <xdr:cNvSpPr>
          <a:spLocks noChangeShapeType="1"/>
        </xdr:cNvSpPr>
      </xdr:nvSpPr>
      <xdr:spPr bwMode="auto">
        <a:xfrm>
          <a:off x="3181350" y="6353175"/>
          <a:ext cx="238125" cy="428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942975</xdr:colOff>
      <xdr:row>26</xdr:row>
      <xdr:rowOff>38100</xdr:rowOff>
    </xdr:from>
    <xdr:to>
      <xdr:col>3</xdr:col>
      <xdr:colOff>152400</xdr:colOff>
      <xdr:row>27</xdr:row>
      <xdr:rowOff>76200</xdr:rowOff>
    </xdr:to>
    <xdr:sp macro="" textlink="">
      <xdr:nvSpPr>
        <xdr:cNvPr id="4" name="Line 3">
          <a:extLst>
            <a:ext uri="{FF2B5EF4-FFF2-40B4-BE49-F238E27FC236}">
              <a16:creationId xmlns:a16="http://schemas.microsoft.com/office/drawing/2014/main" id="{588193CB-9495-4B4F-BC04-DCA035480DDB}"/>
            </a:ext>
          </a:extLst>
        </xdr:cNvPr>
        <xdr:cNvSpPr>
          <a:spLocks noChangeShapeType="1"/>
        </xdr:cNvSpPr>
      </xdr:nvSpPr>
      <xdr:spPr bwMode="auto">
        <a:xfrm flipH="1" flipV="1">
          <a:off x="3419475" y="6781800"/>
          <a:ext cx="32385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24</xdr:row>
      <xdr:rowOff>219075</xdr:rowOff>
    </xdr:from>
    <xdr:to>
      <xdr:col>3</xdr:col>
      <xdr:colOff>523875</xdr:colOff>
      <xdr:row>25</xdr:row>
      <xdr:rowOff>209550</xdr:rowOff>
    </xdr:to>
    <xdr:sp macro="" textlink="">
      <xdr:nvSpPr>
        <xdr:cNvPr id="5" name="Line 4">
          <a:extLst>
            <a:ext uri="{FF2B5EF4-FFF2-40B4-BE49-F238E27FC236}">
              <a16:creationId xmlns:a16="http://schemas.microsoft.com/office/drawing/2014/main" id="{7CD67694-993D-44ED-8A96-6B1FDBFA6199}"/>
            </a:ext>
          </a:extLst>
        </xdr:cNvPr>
        <xdr:cNvSpPr>
          <a:spLocks noChangeShapeType="1"/>
        </xdr:cNvSpPr>
      </xdr:nvSpPr>
      <xdr:spPr bwMode="auto">
        <a:xfrm flipH="1">
          <a:off x="3648075" y="6334125"/>
          <a:ext cx="466725"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85725</xdr:colOff>
      <xdr:row>26</xdr:row>
      <xdr:rowOff>114300</xdr:rowOff>
    </xdr:from>
    <xdr:to>
      <xdr:col>2</xdr:col>
      <xdr:colOff>714375</xdr:colOff>
      <xdr:row>26</xdr:row>
      <xdr:rowOff>171450</xdr:rowOff>
    </xdr:to>
    <xdr:sp macro="" textlink="">
      <xdr:nvSpPr>
        <xdr:cNvPr id="6" name="Line 5">
          <a:extLst>
            <a:ext uri="{FF2B5EF4-FFF2-40B4-BE49-F238E27FC236}">
              <a16:creationId xmlns:a16="http://schemas.microsoft.com/office/drawing/2014/main" id="{BD5C826A-9D31-492B-9EF5-28E10C8B62A4}"/>
            </a:ext>
          </a:extLst>
        </xdr:cNvPr>
        <xdr:cNvSpPr>
          <a:spLocks noChangeShapeType="1"/>
        </xdr:cNvSpPr>
      </xdr:nvSpPr>
      <xdr:spPr bwMode="auto">
        <a:xfrm flipV="1">
          <a:off x="2562225" y="6858000"/>
          <a:ext cx="6286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53</xdr:col>
      <xdr:colOff>104043</xdr:colOff>
      <xdr:row>7</xdr:row>
      <xdr:rowOff>36635</xdr:rowOff>
    </xdr:from>
    <xdr:to>
      <xdr:col>57</xdr:col>
      <xdr:colOff>66521</xdr:colOff>
      <xdr:row>10</xdr:row>
      <xdr:rowOff>109904</xdr:rowOff>
    </xdr:to>
    <xdr:pic>
      <xdr:nvPicPr>
        <xdr:cNvPr id="2" name="図 1">
          <a:extLst>
            <a:ext uri="{FF2B5EF4-FFF2-40B4-BE49-F238E27FC236}">
              <a16:creationId xmlns:a16="http://schemas.microsoft.com/office/drawing/2014/main" id="{9AFC069E-3F52-44EB-9AA0-EBB5935A8F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8443" y="1071685"/>
          <a:ext cx="419678" cy="454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80596</xdr:colOff>
      <xdr:row>26</xdr:row>
      <xdr:rowOff>80596</xdr:rowOff>
    </xdr:from>
    <xdr:to>
      <xdr:col>13</xdr:col>
      <xdr:colOff>87923</xdr:colOff>
      <xdr:row>31</xdr:row>
      <xdr:rowOff>124557</xdr:rowOff>
    </xdr:to>
    <xdr:cxnSp macro="">
      <xdr:nvCxnSpPr>
        <xdr:cNvPr id="3" name="直線矢印コネクタ 2">
          <a:extLst>
            <a:ext uri="{FF2B5EF4-FFF2-40B4-BE49-F238E27FC236}">
              <a16:creationId xmlns:a16="http://schemas.microsoft.com/office/drawing/2014/main" id="{C2183C23-820B-4B6C-A204-D3C50CBF5C1E}"/>
            </a:ext>
          </a:extLst>
        </xdr:cNvPr>
        <xdr:cNvCxnSpPr/>
      </xdr:nvCxnSpPr>
      <xdr:spPr>
        <a:xfrm flipH="1">
          <a:off x="1566496" y="3757246"/>
          <a:ext cx="7327" cy="105996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146538</xdr:colOff>
      <xdr:row>5</xdr:row>
      <xdr:rowOff>73271</xdr:rowOff>
    </xdr:from>
    <xdr:to>
      <xdr:col>6</xdr:col>
      <xdr:colOff>534866</xdr:colOff>
      <xdr:row>22</xdr:row>
      <xdr:rowOff>130421</xdr:rowOff>
    </xdr:to>
    <xdr:pic>
      <xdr:nvPicPr>
        <xdr:cNvPr id="5121" name="Picture 1">
          <a:extLst>
            <a:ext uri="{FF2B5EF4-FFF2-40B4-BE49-F238E27FC236}">
              <a16:creationId xmlns:a16="http://schemas.microsoft.com/office/drawing/2014/main" id="{1D091A94-C7BB-E58A-0806-04FF2B93D6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538" y="996463"/>
          <a:ext cx="3297116" cy="2548304"/>
        </a:xfrm>
        <a:prstGeom prst="rect">
          <a:avLst/>
        </a:prstGeom>
        <a:noFill/>
        <a:ln>
          <a:solidFill>
            <a:prstClr val="black"/>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14784</xdr:rowOff>
    </xdr:from>
    <xdr:to>
      <xdr:col>2</xdr:col>
      <xdr:colOff>243167</xdr:colOff>
      <xdr:row>2</xdr:row>
      <xdr:rowOff>0</xdr:rowOff>
    </xdr:to>
    <xdr:sp macro="" textlink="">
      <xdr:nvSpPr>
        <xdr:cNvPr id="2" name="角丸四角形 2">
          <a:hlinkClick xmlns:r="http://schemas.openxmlformats.org/officeDocument/2006/relationships" r:id="rId2"/>
          <a:extLst>
            <a:ext uri="{FF2B5EF4-FFF2-40B4-BE49-F238E27FC236}">
              <a16:creationId xmlns:a16="http://schemas.microsoft.com/office/drawing/2014/main" id="{B6CE04CA-BED9-47D7-A0A9-B6EF68279AB1}"/>
            </a:ext>
          </a:extLst>
        </xdr:cNvPr>
        <xdr:cNvSpPr/>
      </xdr:nvSpPr>
      <xdr:spPr bwMode="auto">
        <a:xfrm>
          <a:off x="146050" y="14784"/>
          <a:ext cx="751167" cy="467816"/>
        </a:xfrm>
        <a:prstGeom prst="roundRect">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ctr" upright="1">
          <a:noAutofit/>
        </a:bodyPr>
        <a:lstStyle/>
        <a:p>
          <a:pPr algn="ctr"/>
          <a:r>
            <a:rPr kumimoji="1" lang="ja-JP" altLang="en-US" sz="1050" b="1"/>
            <a:t>基本データ</a:t>
          </a:r>
        </a:p>
      </xdr:txBody>
    </xdr:sp>
    <xdr:clientData fPrintsWithSheet="0"/>
  </xdr:twoCellAnchor>
  <xdr:twoCellAnchor>
    <xdr:from>
      <xdr:col>2</xdr:col>
      <xdr:colOff>243168</xdr:colOff>
      <xdr:row>0</xdr:row>
      <xdr:rowOff>2100</xdr:rowOff>
    </xdr:from>
    <xdr:to>
      <xdr:col>3</xdr:col>
      <xdr:colOff>486336</xdr:colOff>
      <xdr:row>2</xdr:row>
      <xdr:rowOff>0</xdr:rowOff>
    </xdr:to>
    <xdr:sp macro="" textlink="">
      <xdr:nvSpPr>
        <xdr:cNvPr id="3" name="角丸四角形 3">
          <a:hlinkClick xmlns:r="http://schemas.openxmlformats.org/officeDocument/2006/relationships" r:id="rId3"/>
          <a:extLst>
            <a:ext uri="{FF2B5EF4-FFF2-40B4-BE49-F238E27FC236}">
              <a16:creationId xmlns:a16="http://schemas.microsoft.com/office/drawing/2014/main" id="{B4B287A2-DC7A-4966-8269-B63FB4E79732}"/>
            </a:ext>
          </a:extLst>
        </xdr:cNvPr>
        <xdr:cNvSpPr/>
      </xdr:nvSpPr>
      <xdr:spPr bwMode="auto">
        <a:xfrm>
          <a:off x="897218" y="2100"/>
          <a:ext cx="751168" cy="480500"/>
        </a:xfrm>
        <a:prstGeom prst="roundRect">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ctr" upright="1">
          <a:noAutofit/>
        </a:bodyPr>
        <a:lstStyle/>
        <a:p>
          <a:pPr algn="ctr"/>
          <a:r>
            <a:rPr kumimoji="1" lang="ja-JP" altLang="en-US" sz="1200" b="1"/>
            <a:t>表紙</a:t>
          </a:r>
        </a:p>
      </xdr:txBody>
    </xdr:sp>
    <xdr:clientData fPrintsWithSheet="0"/>
  </xdr:twoCellAnchor>
  <xdr:twoCellAnchor>
    <xdr:from>
      <xdr:col>3</xdr:col>
      <xdr:colOff>486337</xdr:colOff>
      <xdr:row>0</xdr:row>
      <xdr:rowOff>0</xdr:rowOff>
    </xdr:from>
    <xdr:to>
      <xdr:col>5</xdr:col>
      <xdr:colOff>165848</xdr:colOff>
      <xdr:row>2</xdr:row>
      <xdr:rowOff>0</xdr:rowOff>
    </xdr:to>
    <xdr:sp macro="" textlink="">
      <xdr:nvSpPr>
        <xdr:cNvPr id="4" name="角丸四角形 4">
          <a:hlinkClick xmlns:r="http://schemas.openxmlformats.org/officeDocument/2006/relationships" r:id="rId4"/>
          <a:extLst>
            <a:ext uri="{FF2B5EF4-FFF2-40B4-BE49-F238E27FC236}">
              <a16:creationId xmlns:a16="http://schemas.microsoft.com/office/drawing/2014/main" id="{7CF78C13-8B87-4235-B14A-3461D06031FC}"/>
            </a:ext>
          </a:extLst>
        </xdr:cNvPr>
        <xdr:cNvSpPr/>
      </xdr:nvSpPr>
      <xdr:spPr bwMode="auto">
        <a:xfrm>
          <a:off x="1648387" y="0"/>
          <a:ext cx="695511" cy="482600"/>
        </a:xfrm>
        <a:prstGeom prst="roundRect">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ctr" upright="1">
          <a:noAutofit/>
        </a:bodyPr>
        <a:lstStyle/>
        <a:p>
          <a:pPr algn="ctr"/>
          <a:r>
            <a:rPr kumimoji="1" lang="ja-JP" altLang="en-US" sz="1200" b="1"/>
            <a:t>報告書</a:t>
          </a:r>
        </a:p>
      </xdr:txBody>
    </xdr:sp>
    <xdr:clientData fPrintsWithSheet="0"/>
  </xdr:twoCellAnchor>
  <xdr:twoCellAnchor>
    <xdr:from>
      <xdr:col>5</xdr:col>
      <xdr:colOff>165848</xdr:colOff>
      <xdr:row>0</xdr:row>
      <xdr:rowOff>0</xdr:rowOff>
    </xdr:from>
    <xdr:to>
      <xdr:col>6</xdr:col>
      <xdr:colOff>409015</xdr:colOff>
      <xdr:row>2</xdr:row>
      <xdr:rowOff>0</xdr:rowOff>
    </xdr:to>
    <xdr:sp macro="" textlink="">
      <xdr:nvSpPr>
        <xdr:cNvPr id="5" name="角丸四角形 5">
          <a:hlinkClick xmlns:r="http://schemas.openxmlformats.org/officeDocument/2006/relationships" r:id="rId5"/>
          <a:extLst>
            <a:ext uri="{FF2B5EF4-FFF2-40B4-BE49-F238E27FC236}">
              <a16:creationId xmlns:a16="http://schemas.microsoft.com/office/drawing/2014/main" id="{88E99870-05C4-48F1-9E87-6FB7BE064FE4}"/>
            </a:ext>
          </a:extLst>
        </xdr:cNvPr>
        <xdr:cNvSpPr/>
      </xdr:nvSpPr>
      <xdr:spPr bwMode="auto">
        <a:xfrm>
          <a:off x="2343898" y="0"/>
          <a:ext cx="751167" cy="482600"/>
        </a:xfrm>
        <a:prstGeom prst="roundRect">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ctr" upright="1">
          <a:noAutofit/>
        </a:bodyPr>
        <a:lstStyle/>
        <a:p>
          <a:pPr algn="ctr"/>
          <a:r>
            <a:rPr kumimoji="1" lang="en-US" altLang="ja-JP" sz="1200" b="1"/>
            <a:t>3</a:t>
          </a:r>
          <a:r>
            <a:rPr kumimoji="1" lang="ja-JP" altLang="en-US" sz="1200" b="1"/>
            <a:t>枚台帳</a:t>
          </a:r>
        </a:p>
      </xdr:txBody>
    </xdr:sp>
    <xdr:clientData fPrintsWithSheet="0"/>
  </xdr:twoCellAnchor>
  <xdr:twoCellAnchor>
    <xdr:from>
      <xdr:col>8</xdr:col>
      <xdr:colOff>428625</xdr:colOff>
      <xdr:row>0</xdr:row>
      <xdr:rowOff>0</xdr:rowOff>
    </xdr:from>
    <xdr:to>
      <xdr:col>10</xdr:col>
      <xdr:colOff>115139</xdr:colOff>
      <xdr:row>2</xdr:row>
      <xdr:rowOff>0</xdr:rowOff>
    </xdr:to>
    <xdr:sp macro="[0]!印刷範囲6枚用" textlink="">
      <xdr:nvSpPr>
        <xdr:cNvPr id="6" name="角丸四角形 6">
          <a:hlinkClick xmlns:r="http://schemas.openxmlformats.org/officeDocument/2006/relationships" r:id="rId6"/>
          <a:extLst>
            <a:ext uri="{FF2B5EF4-FFF2-40B4-BE49-F238E27FC236}">
              <a16:creationId xmlns:a16="http://schemas.microsoft.com/office/drawing/2014/main" id="{D5CD9B42-FD17-4F6F-AA8B-76DF59A369B2}"/>
            </a:ext>
          </a:extLst>
        </xdr:cNvPr>
        <xdr:cNvSpPr/>
      </xdr:nvSpPr>
      <xdr:spPr bwMode="auto">
        <a:xfrm>
          <a:off x="3832225" y="0"/>
          <a:ext cx="702514" cy="482600"/>
        </a:xfrm>
        <a:prstGeom prst="roundRect">
          <a:avLst/>
        </a:prstGeom>
        <a:solidFill>
          <a:schemeClr val="accent3">
            <a:lumMod val="75000"/>
          </a:schemeClr>
        </a:solidFill>
        <a:ln>
          <a:solidFill>
            <a:schemeClr val="accent3">
              <a:lumMod val="50000"/>
            </a:schemeClr>
          </a:solidFill>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noAutofit/>
        </a:bodyPr>
        <a:lstStyle/>
        <a:p>
          <a:pPr algn="ctr"/>
          <a:r>
            <a:rPr kumimoji="1" lang="ja-JP" altLang="en-US" sz="1200" b="1"/>
            <a:t>見出へ</a:t>
          </a:r>
        </a:p>
      </xdr:txBody>
    </xdr:sp>
    <xdr:clientData fPrintsWithSheet="0"/>
  </xdr:twoCellAnchor>
  <xdr:twoCellAnchor>
    <xdr:from>
      <xdr:col>10</xdr:col>
      <xdr:colOff>115140</xdr:colOff>
      <xdr:row>0</xdr:row>
      <xdr:rowOff>0</xdr:rowOff>
    </xdr:from>
    <xdr:to>
      <xdr:col>11</xdr:col>
      <xdr:colOff>347102</xdr:colOff>
      <xdr:row>2</xdr:row>
      <xdr:rowOff>0</xdr:rowOff>
    </xdr:to>
    <xdr:sp macro="[1]!用紙コピー6枚用" textlink="">
      <xdr:nvSpPr>
        <xdr:cNvPr id="7" name="角丸四角形 7">
          <a:extLst>
            <a:ext uri="{FF2B5EF4-FFF2-40B4-BE49-F238E27FC236}">
              <a16:creationId xmlns:a16="http://schemas.microsoft.com/office/drawing/2014/main" id="{96CA2B7E-1BFE-436B-BE66-91BD3D73194E}"/>
            </a:ext>
          </a:extLst>
        </xdr:cNvPr>
        <xdr:cNvSpPr/>
      </xdr:nvSpPr>
      <xdr:spPr bwMode="auto">
        <a:xfrm>
          <a:off x="4534740" y="0"/>
          <a:ext cx="739962" cy="482600"/>
        </a:xfrm>
        <a:prstGeom prst="roundRect">
          <a:avLst/>
        </a:prstGeom>
        <a:ln>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noAutofit/>
        </a:bodyPr>
        <a:lstStyle/>
        <a:p>
          <a:pPr algn="ctr"/>
          <a:r>
            <a:rPr kumimoji="1" lang="ja-JP" altLang="en-US" sz="1200" b="1"/>
            <a:t>用紙追加</a:t>
          </a:r>
        </a:p>
      </xdr:txBody>
    </xdr:sp>
    <xdr:clientData fPrintsWithSheet="0"/>
  </xdr:twoCellAnchor>
  <xdr:twoCellAnchor editAs="absolute">
    <xdr:from>
      <xdr:col>30</xdr:col>
      <xdr:colOff>488985</xdr:colOff>
      <xdr:row>94</xdr:row>
      <xdr:rowOff>121871</xdr:rowOff>
    </xdr:from>
    <xdr:to>
      <xdr:col>32</xdr:col>
      <xdr:colOff>503360</xdr:colOff>
      <xdr:row>96</xdr:row>
      <xdr:rowOff>117670</xdr:rowOff>
    </xdr:to>
    <xdr:sp macro="" textlink="">
      <xdr:nvSpPr>
        <xdr:cNvPr id="8" name="角丸四角形 9">
          <a:hlinkClick xmlns:r="http://schemas.openxmlformats.org/officeDocument/2006/relationships" r:id="rId7"/>
          <a:extLst>
            <a:ext uri="{FF2B5EF4-FFF2-40B4-BE49-F238E27FC236}">
              <a16:creationId xmlns:a16="http://schemas.microsoft.com/office/drawing/2014/main" id="{CBE4DF7F-C9AD-4AB7-8170-B433B4C766A8}"/>
            </a:ext>
          </a:extLst>
        </xdr:cNvPr>
        <xdr:cNvSpPr/>
      </xdr:nvSpPr>
      <xdr:spPr bwMode="auto">
        <a:xfrm>
          <a:off x="16230635" y="13414375"/>
          <a:ext cx="1233575" cy="275199"/>
        </a:xfrm>
        <a:prstGeom prst="roundRect">
          <a:avLst/>
        </a:prstGeom>
        <a:ln>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kumimoji="1" lang="ja-JP" altLang="en-US" sz="1200" b="1"/>
            <a:t>ＴＯＰへ</a:t>
          </a:r>
        </a:p>
      </xdr:txBody>
    </xdr:sp>
    <xdr:clientData fPrintsWithSheet="0"/>
  </xdr:twoCellAnchor>
  <xdr:twoCellAnchor editAs="absolute">
    <xdr:from>
      <xdr:col>30</xdr:col>
      <xdr:colOff>488985</xdr:colOff>
      <xdr:row>116</xdr:row>
      <xdr:rowOff>131396</xdr:rowOff>
    </xdr:from>
    <xdr:to>
      <xdr:col>32</xdr:col>
      <xdr:colOff>503360</xdr:colOff>
      <xdr:row>118</xdr:row>
      <xdr:rowOff>127195</xdr:rowOff>
    </xdr:to>
    <xdr:sp macro="" textlink="">
      <xdr:nvSpPr>
        <xdr:cNvPr id="9" name="角丸四角形 10">
          <a:hlinkClick xmlns:r="http://schemas.openxmlformats.org/officeDocument/2006/relationships" r:id="rId7"/>
          <a:extLst>
            <a:ext uri="{FF2B5EF4-FFF2-40B4-BE49-F238E27FC236}">
              <a16:creationId xmlns:a16="http://schemas.microsoft.com/office/drawing/2014/main" id="{BAB6C0D2-52A9-45CA-A46E-4C9DFDA2DC8A}"/>
            </a:ext>
          </a:extLst>
        </xdr:cNvPr>
        <xdr:cNvSpPr/>
      </xdr:nvSpPr>
      <xdr:spPr bwMode="auto">
        <a:xfrm>
          <a:off x="16230635" y="16497300"/>
          <a:ext cx="1233575" cy="275199"/>
        </a:xfrm>
        <a:prstGeom prst="roundRect">
          <a:avLst/>
        </a:prstGeom>
        <a:ln>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kumimoji="1" lang="ja-JP" altLang="en-US" sz="1200" b="1"/>
            <a:t>ＴＯＰへ</a:t>
          </a:r>
        </a:p>
      </xdr:txBody>
    </xdr:sp>
    <xdr:clientData fPrintsWithSheet="0"/>
  </xdr:twoCellAnchor>
  <xdr:twoCellAnchor>
    <xdr:from>
      <xdr:col>6</xdr:col>
      <xdr:colOff>409575</xdr:colOff>
      <xdr:row>0</xdr:row>
      <xdr:rowOff>0</xdr:rowOff>
    </xdr:from>
    <xdr:to>
      <xdr:col>8</xdr:col>
      <xdr:colOff>428625</xdr:colOff>
      <xdr:row>1</xdr:row>
      <xdr:rowOff>219074</xdr:rowOff>
    </xdr:to>
    <xdr:sp macro="" textlink="">
      <xdr:nvSpPr>
        <xdr:cNvPr id="10" name="角丸四角形 11">
          <a:hlinkClick xmlns:r="http://schemas.openxmlformats.org/officeDocument/2006/relationships" r:id="rId8"/>
          <a:extLst>
            <a:ext uri="{FF2B5EF4-FFF2-40B4-BE49-F238E27FC236}">
              <a16:creationId xmlns:a16="http://schemas.microsoft.com/office/drawing/2014/main" id="{598B27AC-203F-44EC-BA01-9D2628F39470}"/>
            </a:ext>
          </a:extLst>
        </xdr:cNvPr>
        <xdr:cNvSpPr/>
      </xdr:nvSpPr>
      <xdr:spPr bwMode="auto">
        <a:xfrm>
          <a:off x="3095625" y="0"/>
          <a:ext cx="736600" cy="485774"/>
        </a:xfrm>
        <a:prstGeom prst="roundRect">
          <a:avLst/>
        </a:prstGeom>
        <a:ln>
          <a:headEnd type="none" w="med" len="med"/>
          <a:tailEnd type="non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ctr" upright="1"/>
        <a:lstStyle/>
        <a:p>
          <a:pPr algn="ctr"/>
          <a:r>
            <a:rPr kumimoji="1" lang="en-US" altLang="ja-JP" sz="1200" b="1"/>
            <a:t>3</a:t>
          </a:r>
          <a:r>
            <a:rPr kumimoji="1" lang="ja-JP" altLang="en-US" sz="1200" b="1"/>
            <a:t>枚台帳</a:t>
          </a:r>
          <a:endParaRPr kumimoji="1" lang="en-US" altLang="ja-JP" sz="1200" b="1"/>
        </a:p>
        <a:p>
          <a:pPr algn="ctr"/>
          <a:r>
            <a:rPr kumimoji="1" lang="ja-JP" altLang="en-US" sz="1200" b="1"/>
            <a:t>両面</a:t>
          </a:r>
        </a:p>
      </xdr:txBody>
    </xdr:sp>
    <xdr:clientData fPrintsWithSheet="0"/>
  </xdr:twoCellAnchor>
  <xdr:twoCellAnchor>
    <xdr:from>
      <xdr:col>3</xdr:col>
      <xdr:colOff>410307</xdr:colOff>
      <xdr:row>11</xdr:row>
      <xdr:rowOff>102576</xdr:rowOff>
    </xdr:from>
    <xdr:to>
      <xdr:col>4</xdr:col>
      <xdr:colOff>344365</xdr:colOff>
      <xdr:row>14</xdr:row>
      <xdr:rowOff>95250</xdr:rowOff>
    </xdr:to>
    <xdr:sp macro="" textlink="">
      <xdr:nvSpPr>
        <xdr:cNvPr id="11" name="楕円 10">
          <a:extLst>
            <a:ext uri="{FF2B5EF4-FFF2-40B4-BE49-F238E27FC236}">
              <a16:creationId xmlns:a16="http://schemas.microsoft.com/office/drawing/2014/main" id="{EB0B3301-2C61-4248-B353-79F76A3DE995}"/>
            </a:ext>
          </a:extLst>
        </xdr:cNvPr>
        <xdr:cNvSpPr/>
      </xdr:nvSpPr>
      <xdr:spPr>
        <a:xfrm>
          <a:off x="1670538" y="1904999"/>
          <a:ext cx="483577" cy="432289"/>
        </a:xfrm>
        <a:prstGeom prst="ellipse">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7</xdr:col>
      <xdr:colOff>161192</xdr:colOff>
      <xdr:row>6</xdr:row>
      <xdr:rowOff>51288</xdr:rowOff>
    </xdr:from>
    <xdr:to>
      <xdr:col>13</xdr:col>
      <xdr:colOff>485042</xdr:colOff>
      <xdr:row>19</xdr:row>
      <xdr:rowOff>85042</xdr:rowOff>
    </xdr:to>
    <xdr:pic>
      <xdr:nvPicPr>
        <xdr:cNvPr id="5122" name="Picture 2">
          <a:extLst>
            <a:ext uri="{FF2B5EF4-FFF2-40B4-BE49-F238E27FC236}">
              <a16:creationId xmlns:a16="http://schemas.microsoft.com/office/drawing/2014/main" id="{794A8B5A-F934-C01A-B316-C914526A2BB5}"/>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637817" y="1108563"/>
          <a:ext cx="3314700" cy="1891129"/>
        </a:xfrm>
        <a:prstGeom prst="rect">
          <a:avLst/>
        </a:prstGeom>
        <a:noFill/>
        <a:ln>
          <a:solidFill>
            <a:srgbClr xmlns:mc="http://schemas.openxmlformats.org/markup-compatibility/2006" xmlns:a14="http://schemas.microsoft.com/office/drawing/2010/main" val="000000" mc:Ignorable="a14" a14:legacySpreadsheetColorIndex="6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xdr:row>
      <xdr:rowOff>1</xdr:rowOff>
    </xdr:from>
    <xdr:to>
      <xdr:col>7</xdr:col>
      <xdr:colOff>0</xdr:colOff>
      <xdr:row>46</xdr:row>
      <xdr:rowOff>57151</xdr:rowOff>
    </xdr:to>
    <xdr:pic>
      <xdr:nvPicPr>
        <xdr:cNvPr id="5123" name="Picture 3">
          <a:extLst>
            <a:ext uri="{FF2B5EF4-FFF2-40B4-BE49-F238E27FC236}">
              <a16:creationId xmlns:a16="http://schemas.microsoft.com/office/drawing/2014/main" id="{BF4DE88A-84A4-576A-26EC-F4EAF9CC121B}"/>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61925" y="4343401"/>
          <a:ext cx="3314700" cy="2486025"/>
        </a:xfrm>
        <a:prstGeom prst="rect">
          <a:avLst/>
        </a:prstGeom>
        <a:noFill/>
        <a:ln>
          <a:solidFill>
            <a:prstClr val="black"/>
          </a:solidFill>
        </a:ln>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25644</xdr:colOff>
      <xdr:row>11</xdr:row>
      <xdr:rowOff>90121</xdr:rowOff>
    </xdr:from>
    <xdr:to>
      <xdr:col>10</xdr:col>
      <xdr:colOff>509221</xdr:colOff>
      <xdr:row>14</xdr:row>
      <xdr:rowOff>82795</xdr:rowOff>
    </xdr:to>
    <xdr:sp macro="" textlink="">
      <xdr:nvSpPr>
        <xdr:cNvPr id="12" name="楕円 11">
          <a:extLst>
            <a:ext uri="{FF2B5EF4-FFF2-40B4-BE49-F238E27FC236}">
              <a16:creationId xmlns:a16="http://schemas.microsoft.com/office/drawing/2014/main" id="{B4BD9EBC-E909-4EA0-A31F-613ABA66C8F1}"/>
            </a:ext>
          </a:extLst>
        </xdr:cNvPr>
        <xdr:cNvSpPr/>
      </xdr:nvSpPr>
      <xdr:spPr>
        <a:xfrm>
          <a:off x="4810125" y="1892544"/>
          <a:ext cx="483577" cy="432289"/>
        </a:xfrm>
        <a:prstGeom prst="ellipse">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xdr:col>
      <xdr:colOff>484309</xdr:colOff>
      <xdr:row>37</xdr:row>
      <xdr:rowOff>86459</xdr:rowOff>
    </xdr:from>
    <xdr:to>
      <xdr:col>6</xdr:col>
      <xdr:colOff>418367</xdr:colOff>
      <xdr:row>40</xdr:row>
      <xdr:rowOff>79133</xdr:rowOff>
    </xdr:to>
    <xdr:sp macro="" textlink="">
      <xdr:nvSpPr>
        <xdr:cNvPr id="13" name="楕円 12">
          <a:extLst>
            <a:ext uri="{FF2B5EF4-FFF2-40B4-BE49-F238E27FC236}">
              <a16:creationId xmlns:a16="http://schemas.microsoft.com/office/drawing/2014/main" id="{7A88440A-BF72-4876-A18A-C2597832AE0F}"/>
            </a:ext>
          </a:extLst>
        </xdr:cNvPr>
        <xdr:cNvSpPr/>
      </xdr:nvSpPr>
      <xdr:spPr>
        <a:xfrm>
          <a:off x="2843578" y="5698882"/>
          <a:ext cx="483577" cy="432289"/>
        </a:xfrm>
        <a:prstGeom prst="ellipse">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hukai-my.sharepoint.com/personal/energysuport_chukai_onmicrosoft_com/Documents/1&#38651;&#27671;&#31649;&#29702;/1.1&#20107;&#26989;&#22580;&#21029;&#26360;&#39006;/48%20&#20489;&#21513;&#22826;&#38525;&#20809;/&#22577;&#21578;&#26360;/2311/&#20889;&#30495;&#24115;&#65288;&#26397;&#26085;&#12460;&#12473;&#20489;&#21513;&#31532;&#65297;&#30330;&#38651;&#25152;2308&#65289;%20(version%201).xlsb.xlsm" TargetMode="External"/><Relationship Id="rId1" Type="http://schemas.openxmlformats.org/officeDocument/2006/relationships/externalLinkPath" Target="/personal/energysuport_chukai_onmicrosoft_com/Documents/1&#38651;&#27671;&#31649;&#29702;/1.1&#20107;&#26989;&#22580;&#21029;&#26360;&#39006;/48%20&#20489;&#21513;&#22826;&#38525;&#20809;/&#22577;&#21578;&#26360;/2311/&#20889;&#30495;&#24115;&#65288;&#26397;&#26085;&#12460;&#12473;&#20489;&#21513;&#31532;&#65297;&#30330;&#38651;&#25152;2308&#65289;%20(version%201).xls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台帳1（通常点検） (2)"/>
      <sheetName val="写真帳（朝日ガス倉吉第１発電所2308） (version 1"/>
    </sheetNames>
    <definedNames>
      <definedName name="用紙コピー6枚用"/>
    </definedNames>
    <sheetDataSet>
      <sheetData sheetId="0"/>
      <sheetData sheetId="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E7954-B89F-4909-B56B-742663AFEFF0}">
  <dimension ref="B1:G39"/>
  <sheetViews>
    <sheetView tabSelected="1" view="pageBreakPreview" zoomScaleNormal="100" zoomScaleSheetLayoutView="100" workbookViewId="0">
      <selection activeCell="B33" sqref="B33:G33"/>
    </sheetView>
  </sheetViews>
  <sheetFormatPr defaultRowHeight="13.5" x14ac:dyDescent="0.15"/>
  <cols>
    <col min="1" max="1" width="2.75" customWidth="1"/>
    <col min="3" max="3" width="25.25" customWidth="1"/>
    <col min="6" max="6" width="24.125" customWidth="1"/>
  </cols>
  <sheetData>
    <row r="1" spans="2:7" x14ac:dyDescent="0.15">
      <c r="B1" s="245" t="s">
        <v>86</v>
      </c>
      <c r="C1" s="245"/>
      <c r="D1" s="245"/>
      <c r="E1" s="245"/>
      <c r="F1" s="245"/>
      <c r="G1" s="245"/>
    </row>
    <row r="2" spans="2:7" x14ac:dyDescent="0.15">
      <c r="B2" s="245"/>
      <c r="C2" s="245"/>
      <c r="D2" s="245"/>
      <c r="E2" s="245"/>
      <c r="F2" s="245"/>
      <c r="G2" s="245"/>
    </row>
    <row r="5" spans="2:7" x14ac:dyDescent="0.15">
      <c r="B5" t="s">
        <v>87</v>
      </c>
    </row>
    <row r="6" spans="2:7" x14ac:dyDescent="0.15">
      <c r="B6" t="s">
        <v>119</v>
      </c>
    </row>
    <row r="8" spans="2:7" x14ac:dyDescent="0.15">
      <c r="B8" t="s">
        <v>89</v>
      </c>
      <c r="E8" s="246" t="s">
        <v>88</v>
      </c>
      <c r="F8" s="246"/>
    </row>
    <row r="9" spans="2:7" ht="22.5" customHeight="1" x14ac:dyDescent="0.15">
      <c r="B9" s="164" t="s">
        <v>364</v>
      </c>
      <c r="E9" s="247" t="s">
        <v>338</v>
      </c>
      <c r="F9" s="247"/>
    </row>
    <row r="11" spans="2:7" x14ac:dyDescent="0.15">
      <c r="B11" s="248" t="s">
        <v>90</v>
      </c>
      <c r="C11" s="248"/>
      <c r="D11" s="248"/>
      <c r="E11" s="248"/>
      <c r="F11" s="248"/>
      <c r="G11" s="248"/>
    </row>
    <row r="12" spans="2:7" x14ac:dyDescent="0.15">
      <c r="B12" s="248"/>
      <c r="C12" s="248"/>
      <c r="D12" s="248"/>
      <c r="E12" s="248"/>
      <c r="F12" s="248"/>
      <c r="G12" s="248"/>
    </row>
    <row r="13" spans="2:7" x14ac:dyDescent="0.15">
      <c r="B13" s="165"/>
      <c r="C13" s="165"/>
      <c r="D13" s="165"/>
      <c r="E13" s="165"/>
      <c r="F13" s="165"/>
      <c r="G13" s="165"/>
    </row>
    <row r="14" spans="2:7" ht="17.25" customHeight="1" x14ac:dyDescent="0.15">
      <c r="B14" t="s">
        <v>525</v>
      </c>
      <c r="C14" s="165"/>
      <c r="D14" s="165"/>
      <c r="E14" s="165"/>
      <c r="F14" s="165"/>
      <c r="G14" s="165"/>
    </row>
    <row r="15" spans="2:7" ht="14.25" thickBot="1" x14ac:dyDescent="0.2">
      <c r="C15" s="165"/>
      <c r="D15" s="165"/>
      <c r="E15" s="165"/>
      <c r="F15" s="165"/>
      <c r="G15" s="165"/>
    </row>
    <row r="16" spans="2:7" ht="15" thickTop="1" thickBot="1" x14ac:dyDescent="0.2">
      <c r="B16" s="22" t="s">
        <v>91</v>
      </c>
      <c r="C16" s="23" t="s">
        <v>92</v>
      </c>
      <c r="D16" s="24" t="s">
        <v>93</v>
      </c>
      <c r="E16" s="23" t="s">
        <v>91</v>
      </c>
      <c r="F16" s="25" t="s">
        <v>92</v>
      </c>
      <c r="G16" s="26" t="s">
        <v>93</v>
      </c>
    </row>
    <row r="17" spans="2:7" ht="20.100000000000001" customHeight="1" thickBot="1" x14ac:dyDescent="0.2">
      <c r="B17" s="43">
        <v>1</v>
      </c>
      <c r="C17" s="42" t="s">
        <v>94</v>
      </c>
      <c r="D17" s="197" t="s">
        <v>1</v>
      </c>
      <c r="E17" s="41">
        <v>13</v>
      </c>
      <c r="F17" s="39" t="s">
        <v>95</v>
      </c>
      <c r="G17" s="202" t="s">
        <v>1</v>
      </c>
    </row>
    <row r="18" spans="2:7" ht="20.100000000000001" customHeight="1" thickBot="1" x14ac:dyDescent="0.2">
      <c r="B18" s="28">
        <v>2</v>
      </c>
      <c r="C18" s="27" t="s">
        <v>96</v>
      </c>
      <c r="D18" s="198" t="s">
        <v>1</v>
      </c>
      <c r="E18" s="29">
        <v>14</v>
      </c>
      <c r="F18" s="30" t="s">
        <v>97</v>
      </c>
      <c r="G18" s="203" t="s">
        <v>1</v>
      </c>
    </row>
    <row r="19" spans="2:7" ht="20.100000000000001" customHeight="1" thickBot="1" x14ac:dyDescent="0.2">
      <c r="B19" s="28">
        <v>3</v>
      </c>
      <c r="C19" s="39" t="s">
        <v>98</v>
      </c>
      <c r="D19" s="199" t="s">
        <v>1</v>
      </c>
      <c r="E19" s="38">
        <v>15</v>
      </c>
      <c r="F19" s="39" t="s">
        <v>99</v>
      </c>
      <c r="G19" s="202" t="s">
        <v>1</v>
      </c>
    </row>
    <row r="20" spans="2:7" ht="20.100000000000001" customHeight="1" thickBot="1" x14ac:dyDescent="0.2">
      <c r="B20" s="28">
        <v>4</v>
      </c>
      <c r="C20" s="39" t="s">
        <v>100</v>
      </c>
      <c r="D20" s="200" t="s">
        <v>101</v>
      </c>
      <c r="E20" s="38">
        <v>16</v>
      </c>
      <c r="F20" s="39" t="s">
        <v>102</v>
      </c>
      <c r="G20" s="202" t="s">
        <v>1</v>
      </c>
    </row>
    <row r="21" spans="2:7" ht="20.100000000000001" customHeight="1" thickBot="1" x14ac:dyDescent="0.2">
      <c r="B21" s="28">
        <v>5</v>
      </c>
      <c r="C21" s="27" t="s">
        <v>103</v>
      </c>
      <c r="D21" s="201" t="s">
        <v>1</v>
      </c>
      <c r="E21" s="29">
        <v>17</v>
      </c>
      <c r="F21" s="27" t="s">
        <v>104</v>
      </c>
      <c r="G21" s="204"/>
    </row>
    <row r="22" spans="2:7" ht="20.100000000000001" customHeight="1" thickBot="1" x14ac:dyDescent="0.2">
      <c r="B22" s="28">
        <v>6</v>
      </c>
      <c r="C22" s="39" t="s">
        <v>105</v>
      </c>
      <c r="D22" s="201" t="s">
        <v>1</v>
      </c>
      <c r="E22" s="38">
        <v>18</v>
      </c>
      <c r="F22" s="39" t="s">
        <v>106</v>
      </c>
      <c r="G22" s="202" t="s">
        <v>1</v>
      </c>
    </row>
    <row r="23" spans="2:7" ht="20.100000000000001" customHeight="1" thickBot="1" x14ac:dyDescent="0.2">
      <c r="B23" s="28">
        <v>7</v>
      </c>
      <c r="C23" s="27" t="s">
        <v>107</v>
      </c>
      <c r="D23" s="201" t="s">
        <v>1</v>
      </c>
      <c r="E23" s="29">
        <v>19</v>
      </c>
      <c r="F23" s="27" t="s">
        <v>108</v>
      </c>
      <c r="G23" s="203" t="s">
        <v>1</v>
      </c>
    </row>
    <row r="24" spans="2:7" ht="20.100000000000001" customHeight="1" thickBot="1" x14ac:dyDescent="0.2">
      <c r="B24" s="28">
        <v>8</v>
      </c>
      <c r="C24" s="27" t="s">
        <v>109</v>
      </c>
      <c r="D24" s="201" t="s">
        <v>1</v>
      </c>
      <c r="E24" s="29">
        <v>20</v>
      </c>
      <c r="F24" s="27" t="s">
        <v>110</v>
      </c>
      <c r="G24" s="203" t="s">
        <v>1</v>
      </c>
    </row>
    <row r="25" spans="2:7" ht="20.100000000000001" customHeight="1" thickBot="1" x14ac:dyDescent="0.2">
      <c r="B25" s="28">
        <v>9</v>
      </c>
      <c r="C25" s="39" t="s">
        <v>111</v>
      </c>
      <c r="D25" s="201" t="s">
        <v>1</v>
      </c>
      <c r="E25" s="38">
        <v>21</v>
      </c>
      <c r="F25" s="40" t="s">
        <v>112</v>
      </c>
      <c r="G25" s="202" t="s">
        <v>1</v>
      </c>
    </row>
    <row r="26" spans="2:7" ht="20.100000000000001" customHeight="1" thickBot="1" x14ac:dyDescent="0.2">
      <c r="B26" s="28">
        <v>10</v>
      </c>
      <c r="C26" s="27" t="s">
        <v>113</v>
      </c>
      <c r="D26" s="201" t="s">
        <v>1</v>
      </c>
      <c r="E26" s="29">
        <v>22</v>
      </c>
      <c r="F26" s="31" t="s">
        <v>77</v>
      </c>
      <c r="G26" s="203" t="s">
        <v>518</v>
      </c>
    </row>
    <row r="27" spans="2:7" ht="20.100000000000001" customHeight="1" thickBot="1" x14ac:dyDescent="0.2">
      <c r="B27" s="28">
        <v>11</v>
      </c>
      <c r="C27" s="39" t="s">
        <v>114</v>
      </c>
      <c r="D27" s="199" t="s">
        <v>1</v>
      </c>
      <c r="E27" s="38">
        <v>23</v>
      </c>
      <c r="F27" s="3" t="s">
        <v>82</v>
      </c>
      <c r="G27" s="205" t="s">
        <v>117</v>
      </c>
    </row>
    <row r="28" spans="2:7" ht="20.100000000000001" customHeight="1" thickBot="1" x14ac:dyDescent="0.2">
      <c r="B28" s="32">
        <v>12</v>
      </c>
      <c r="C28" s="33" t="s">
        <v>115</v>
      </c>
      <c r="D28" s="34" t="s">
        <v>19</v>
      </c>
      <c r="E28" s="35">
        <v>24</v>
      </c>
      <c r="F28" s="37"/>
      <c r="G28" s="36"/>
    </row>
    <row r="29" spans="2:7" ht="15" thickTop="1" thickBot="1" x14ac:dyDescent="0.2">
      <c r="B29" s="249" t="s">
        <v>356</v>
      </c>
      <c r="C29" s="250"/>
      <c r="D29" s="250"/>
      <c r="E29" s="250"/>
      <c r="F29" s="250"/>
      <c r="G29" s="251"/>
    </row>
    <row r="30" spans="2:7" ht="18" customHeight="1" thickBot="1" x14ac:dyDescent="0.2">
      <c r="B30" s="242" t="s">
        <v>521</v>
      </c>
      <c r="C30" s="243"/>
      <c r="D30" s="243"/>
      <c r="E30" s="243"/>
      <c r="F30" s="243"/>
      <c r="G30" s="244"/>
    </row>
    <row r="31" spans="2:7" ht="18" customHeight="1" thickBot="1" x14ac:dyDescent="0.2">
      <c r="B31" s="258" t="s">
        <v>522</v>
      </c>
      <c r="C31" s="259"/>
      <c r="D31" s="259"/>
      <c r="E31" s="259"/>
      <c r="F31" s="259"/>
      <c r="G31" s="260"/>
    </row>
    <row r="32" spans="2:7" ht="18" customHeight="1" thickBot="1" x14ac:dyDescent="0.2">
      <c r="B32" s="261" t="s">
        <v>541</v>
      </c>
      <c r="C32" s="262"/>
      <c r="D32" s="262"/>
      <c r="E32" s="262"/>
      <c r="F32" s="262"/>
      <c r="G32" s="263"/>
    </row>
    <row r="33" spans="2:7" ht="18" customHeight="1" thickBot="1" x14ac:dyDescent="0.2">
      <c r="B33" s="261" t="s">
        <v>519</v>
      </c>
      <c r="C33" s="262"/>
      <c r="D33" s="262"/>
      <c r="E33" s="262"/>
      <c r="F33" s="262"/>
      <c r="G33" s="263"/>
    </row>
    <row r="34" spans="2:7" ht="18" customHeight="1" thickBot="1" x14ac:dyDescent="0.2">
      <c r="B34" s="261" t="s">
        <v>520</v>
      </c>
      <c r="C34" s="262"/>
      <c r="D34" s="262"/>
      <c r="E34" s="262"/>
      <c r="F34" s="262"/>
      <c r="G34" s="263"/>
    </row>
    <row r="35" spans="2:7" ht="18" customHeight="1" thickBot="1" x14ac:dyDescent="0.2">
      <c r="B35" s="264" t="s">
        <v>116</v>
      </c>
      <c r="C35" s="265"/>
      <c r="D35" s="265"/>
      <c r="E35" s="265"/>
      <c r="F35" s="265"/>
      <c r="G35" s="266"/>
    </row>
    <row r="36" spans="2:7" ht="18" customHeight="1" thickBot="1" x14ac:dyDescent="0.2">
      <c r="B36" s="252"/>
      <c r="C36" s="253"/>
      <c r="D36" s="253"/>
      <c r="E36" s="253"/>
      <c r="F36" s="253"/>
      <c r="G36" s="254"/>
    </row>
    <row r="37" spans="2:7" ht="18" customHeight="1" thickBot="1" x14ac:dyDescent="0.2">
      <c r="B37" s="252"/>
      <c r="C37" s="253"/>
      <c r="D37" s="253"/>
      <c r="E37" s="253"/>
      <c r="F37" s="253"/>
      <c r="G37" s="254"/>
    </row>
    <row r="38" spans="2:7" ht="18" customHeight="1" thickBot="1" x14ac:dyDescent="0.2">
      <c r="B38" s="255"/>
      <c r="C38" s="256"/>
      <c r="D38" s="256"/>
      <c r="E38" s="256"/>
      <c r="F38" s="256"/>
      <c r="G38" s="257"/>
    </row>
    <row r="39" spans="2:7" ht="14.25" thickTop="1" x14ac:dyDescent="0.15"/>
  </sheetData>
  <mergeCells count="14">
    <mergeCell ref="B37:G37"/>
    <mergeCell ref="B38:G38"/>
    <mergeCell ref="B31:G31"/>
    <mergeCell ref="B32:G32"/>
    <mergeCell ref="B33:G33"/>
    <mergeCell ref="B34:G34"/>
    <mergeCell ref="B35:G35"/>
    <mergeCell ref="B36:G36"/>
    <mergeCell ref="B30:G30"/>
    <mergeCell ref="B1:G2"/>
    <mergeCell ref="E8:F8"/>
    <mergeCell ref="E9:F9"/>
    <mergeCell ref="B11:G12"/>
    <mergeCell ref="B29:G29"/>
  </mergeCells>
  <phoneticPr fontId="2"/>
  <pageMargins left="0.51181102362204722" right="0.31496062992125984" top="0.35433070866141736" bottom="0.15748031496062992"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F67"/>
  <sheetViews>
    <sheetView tabSelected="1" view="pageBreakPreview" topLeftCell="A16" zoomScale="145" zoomScaleNormal="100" zoomScaleSheetLayoutView="145" workbookViewId="0">
      <selection activeCell="B33" sqref="B33:G33"/>
    </sheetView>
  </sheetViews>
  <sheetFormatPr defaultRowHeight="13.5" x14ac:dyDescent="0.15"/>
  <cols>
    <col min="1" max="1" width="4.125" customWidth="1"/>
    <col min="2" max="2" width="16.625" customWidth="1"/>
    <col min="3" max="3" width="17.25" customWidth="1"/>
    <col min="4" max="4" width="17.875" customWidth="1"/>
    <col min="5" max="5" width="9" customWidth="1"/>
    <col min="6" max="6" width="23.5" customWidth="1"/>
  </cols>
  <sheetData>
    <row r="1" spans="2:6" ht="14.25" thickBot="1" x14ac:dyDescent="0.2"/>
    <row r="2" spans="2:6" ht="21.75" thickTop="1" thickBot="1" x14ac:dyDescent="0.2">
      <c r="B2" s="273" t="s">
        <v>22</v>
      </c>
      <c r="C2" s="274"/>
      <c r="D2" s="274"/>
      <c r="E2" s="274"/>
      <c r="F2" s="275"/>
    </row>
    <row r="3" spans="2:6" ht="27" thickTop="1" thickBot="1" x14ac:dyDescent="0.2">
      <c r="B3" s="276" t="s">
        <v>23</v>
      </c>
      <c r="C3" s="277"/>
      <c r="D3" s="4" t="s">
        <v>24</v>
      </c>
      <c r="E3" s="4" t="s">
        <v>25</v>
      </c>
      <c r="F3" s="5" t="s">
        <v>26</v>
      </c>
    </row>
    <row r="4" spans="2:6" ht="25.5" x14ac:dyDescent="0.15">
      <c r="B4" s="278" t="s">
        <v>27</v>
      </c>
      <c r="C4" s="7" t="s">
        <v>28</v>
      </c>
      <c r="D4" s="7" t="s">
        <v>33</v>
      </c>
      <c r="E4" s="281" t="s">
        <v>1</v>
      </c>
      <c r="F4" s="270"/>
    </row>
    <row r="5" spans="2:6" ht="25.5" x14ac:dyDescent="0.15">
      <c r="B5" s="279"/>
      <c r="C5" s="8" t="s">
        <v>29</v>
      </c>
      <c r="D5" s="8" t="s">
        <v>34</v>
      </c>
      <c r="E5" s="282"/>
      <c r="F5" s="271"/>
    </row>
    <row r="6" spans="2:6" x14ac:dyDescent="0.15">
      <c r="B6" s="279"/>
      <c r="C6" s="8" t="s">
        <v>30</v>
      </c>
      <c r="D6" s="9"/>
      <c r="E6" s="282"/>
      <c r="F6" s="271"/>
    </row>
    <row r="7" spans="2:6" x14ac:dyDescent="0.15">
      <c r="B7" s="279"/>
      <c r="C7" s="8" t="s">
        <v>31</v>
      </c>
      <c r="D7" s="9"/>
      <c r="E7" s="282"/>
      <c r="F7" s="271"/>
    </row>
    <row r="8" spans="2:6" ht="15" thickBot="1" x14ac:dyDescent="0.2">
      <c r="B8" s="280"/>
      <c r="C8" s="8" t="s">
        <v>32</v>
      </c>
      <c r="D8" s="10"/>
      <c r="E8" s="283"/>
      <c r="F8" s="272"/>
    </row>
    <row r="9" spans="2:6" ht="14.25" x14ac:dyDescent="0.15">
      <c r="B9" s="6" t="s">
        <v>35</v>
      </c>
      <c r="C9" s="7" t="s">
        <v>39</v>
      </c>
      <c r="D9" s="267" t="s">
        <v>42</v>
      </c>
      <c r="E9" s="206"/>
      <c r="F9" s="270"/>
    </row>
    <row r="10" spans="2:6" ht="14.25" x14ac:dyDescent="0.15">
      <c r="B10" s="12"/>
      <c r="C10" s="8" t="s">
        <v>40</v>
      </c>
      <c r="D10" s="268"/>
      <c r="E10" s="207" t="s">
        <v>1</v>
      </c>
      <c r="F10" s="271"/>
    </row>
    <row r="11" spans="2:6" x14ac:dyDescent="0.15">
      <c r="B11" s="12"/>
      <c r="C11" s="8" t="s">
        <v>41</v>
      </c>
      <c r="D11" s="268"/>
      <c r="E11" s="208"/>
      <c r="F11" s="271"/>
    </row>
    <row r="12" spans="2:6" x14ac:dyDescent="0.15">
      <c r="B12" s="13" t="s">
        <v>36</v>
      </c>
      <c r="C12" s="15"/>
      <c r="D12" s="268"/>
      <c r="E12" s="208"/>
      <c r="F12" s="271"/>
    </row>
    <row r="13" spans="2:6" ht="14.25" thickBot="1" x14ac:dyDescent="0.2">
      <c r="B13" s="12"/>
      <c r="C13" s="15"/>
      <c r="D13" s="269"/>
      <c r="E13" s="208"/>
      <c r="F13" s="272"/>
    </row>
    <row r="14" spans="2:6" ht="35.25" customHeight="1" x14ac:dyDescent="0.15">
      <c r="B14" s="12"/>
      <c r="C14" s="7" t="s">
        <v>43</v>
      </c>
      <c r="D14" s="267" t="s">
        <v>45</v>
      </c>
      <c r="E14" s="206"/>
      <c r="F14" s="270"/>
    </row>
    <row r="15" spans="2:6" ht="15" thickBot="1" x14ac:dyDescent="0.2">
      <c r="B15" s="13" t="s">
        <v>37</v>
      </c>
      <c r="C15" s="8" t="s">
        <v>44</v>
      </c>
      <c r="D15" s="268"/>
      <c r="E15" s="207" t="s">
        <v>1</v>
      </c>
      <c r="F15" s="271"/>
    </row>
    <row r="16" spans="2:6" ht="25.5" x14ac:dyDescent="0.15">
      <c r="B16" s="12"/>
      <c r="C16" s="7" t="s">
        <v>46</v>
      </c>
      <c r="D16" s="7" t="s">
        <v>52</v>
      </c>
      <c r="E16" s="206"/>
      <c r="F16" s="284"/>
    </row>
    <row r="17" spans="2:6" ht="14.25" x14ac:dyDescent="0.15">
      <c r="B17" s="12"/>
      <c r="C17" s="8" t="s">
        <v>47</v>
      </c>
      <c r="D17" s="8" t="s">
        <v>53</v>
      </c>
      <c r="E17" s="207"/>
      <c r="F17" s="285"/>
    </row>
    <row r="18" spans="2:6" ht="14.25" x14ac:dyDescent="0.15">
      <c r="B18" s="13" t="s">
        <v>38</v>
      </c>
      <c r="C18" s="8" t="s">
        <v>48</v>
      </c>
      <c r="D18" s="9"/>
      <c r="E18" s="207" t="s">
        <v>1</v>
      </c>
      <c r="F18" s="285"/>
    </row>
    <row r="19" spans="2:6" ht="14.25" x14ac:dyDescent="0.15">
      <c r="B19" s="14"/>
      <c r="C19" s="8" t="s">
        <v>49</v>
      </c>
      <c r="D19" s="9"/>
      <c r="E19" s="207"/>
      <c r="F19" s="285"/>
    </row>
    <row r="20" spans="2:6" x14ac:dyDescent="0.15">
      <c r="B20" s="14"/>
      <c r="C20" s="8" t="s">
        <v>50</v>
      </c>
      <c r="D20" s="9"/>
      <c r="E20" s="208"/>
      <c r="F20" s="285"/>
    </row>
    <row r="21" spans="2:6" ht="15" thickBot="1" x14ac:dyDescent="0.2">
      <c r="B21" s="14"/>
      <c r="C21" s="8" t="s">
        <v>51</v>
      </c>
      <c r="D21" s="10"/>
      <c r="E21" s="208"/>
      <c r="F21" s="286"/>
    </row>
    <row r="22" spans="2:6" ht="39.75" customHeight="1" thickBot="1" x14ac:dyDescent="0.2">
      <c r="B22" s="14"/>
      <c r="C22" s="7" t="s">
        <v>54</v>
      </c>
      <c r="D22" s="7" t="s">
        <v>55</v>
      </c>
      <c r="E22" s="206" t="s">
        <v>1</v>
      </c>
      <c r="F22" s="11"/>
    </row>
    <row r="23" spans="2:6" ht="29.25" customHeight="1" x14ac:dyDescent="0.15">
      <c r="B23" s="14"/>
      <c r="C23" s="7" t="s">
        <v>56</v>
      </c>
      <c r="D23" s="267" t="s">
        <v>58</v>
      </c>
      <c r="E23" s="281" t="s">
        <v>1</v>
      </c>
      <c r="F23" s="270"/>
    </row>
    <row r="24" spans="2:6" ht="14.25" thickBot="1" x14ac:dyDescent="0.2">
      <c r="B24" s="14"/>
      <c r="C24" s="8" t="s">
        <v>57</v>
      </c>
      <c r="D24" s="269"/>
      <c r="E24" s="283"/>
      <c r="F24" s="272"/>
    </row>
    <row r="25" spans="2:6" ht="27" customHeight="1" x14ac:dyDescent="0.15">
      <c r="B25" s="14"/>
      <c r="C25" s="7" t="s">
        <v>59</v>
      </c>
      <c r="D25" s="267" t="s">
        <v>61</v>
      </c>
      <c r="E25" s="287"/>
      <c r="F25" s="270"/>
    </row>
    <row r="26" spans="2:6" ht="14.25" thickBot="1" x14ac:dyDescent="0.2">
      <c r="B26" s="14"/>
      <c r="C26" s="8" t="s">
        <v>60</v>
      </c>
      <c r="D26" s="269"/>
      <c r="E26" s="288"/>
      <c r="F26" s="272"/>
    </row>
    <row r="27" spans="2:6" ht="38.25" customHeight="1" thickBot="1" x14ac:dyDescent="0.2">
      <c r="B27" s="14"/>
      <c r="C27" s="7" t="s">
        <v>62</v>
      </c>
      <c r="D27" s="7" t="s">
        <v>53</v>
      </c>
      <c r="E27" s="206" t="s">
        <v>1</v>
      </c>
      <c r="F27" s="11"/>
    </row>
    <row r="28" spans="2:6" ht="37.5" customHeight="1" x14ac:dyDescent="0.15">
      <c r="B28" s="278" t="s">
        <v>63</v>
      </c>
      <c r="C28" s="7" t="s">
        <v>64</v>
      </c>
      <c r="D28" s="7" t="s">
        <v>33</v>
      </c>
      <c r="E28" s="281" t="s">
        <v>1</v>
      </c>
      <c r="F28" s="270"/>
    </row>
    <row r="29" spans="2:6" ht="32.25" customHeight="1" x14ac:dyDescent="0.15">
      <c r="B29" s="279"/>
      <c r="C29" s="8" t="s">
        <v>30</v>
      </c>
      <c r="D29" s="8" t="s">
        <v>66</v>
      </c>
      <c r="E29" s="282"/>
      <c r="F29" s="271"/>
    </row>
    <row r="30" spans="2:6" x14ac:dyDescent="0.15">
      <c r="B30" s="279"/>
      <c r="C30" s="8" t="s">
        <v>65</v>
      </c>
      <c r="D30" s="9"/>
      <c r="E30" s="282"/>
      <c r="F30" s="271"/>
    </row>
    <row r="31" spans="2:6" ht="15" thickBot="1" x14ac:dyDescent="0.2">
      <c r="B31" s="289"/>
      <c r="C31" s="16" t="s">
        <v>31</v>
      </c>
      <c r="D31" s="17"/>
      <c r="E31" s="290"/>
      <c r="F31" s="291"/>
    </row>
    <row r="32" spans="2:6" ht="14.25" thickTop="1" x14ac:dyDescent="0.15"/>
    <row r="50" spans="2:6" ht="14.25" thickBot="1" x14ac:dyDescent="0.2"/>
    <row r="51" spans="2:6" ht="21.75" thickTop="1" thickBot="1" x14ac:dyDescent="0.2">
      <c r="B51" s="273" t="s">
        <v>22</v>
      </c>
      <c r="C51" s="274"/>
      <c r="D51" s="274"/>
      <c r="E51" s="274"/>
      <c r="F51" s="275"/>
    </row>
    <row r="52" spans="2:6" ht="27" thickTop="1" thickBot="1" x14ac:dyDescent="0.2">
      <c r="B52" s="276" t="s">
        <v>23</v>
      </c>
      <c r="C52" s="277"/>
      <c r="D52" s="4" t="s">
        <v>24</v>
      </c>
      <c r="E52" s="4" t="s">
        <v>25</v>
      </c>
      <c r="F52" s="5" t="s">
        <v>26</v>
      </c>
    </row>
    <row r="53" spans="2:6" x14ac:dyDescent="0.15">
      <c r="B53" s="6" t="s">
        <v>67</v>
      </c>
      <c r="C53" s="7" t="s">
        <v>69</v>
      </c>
      <c r="D53" s="267" t="s">
        <v>76</v>
      </c>
      <c r="E53" s="296" t="s">
        <v>1</v>
      </c>
      <c r="F53" s="270"/>
    </row>
    <row r="54" spans="2:6" x14ac:dyDescent="0.15">
      <c r="B54" s="12"/>
      <c r="C54" s="8" t="s">
        <v>70</v>
      </c>
      <c r="D54" s="268"/>
      <c r="E54" s="305"/>
      <c r="F54" s="271"/>
    </row>
    <row r="55" spans="2:6" x14ac:dyDescent="0.15">
      <c r="B55" s="13" t="s">
        <v>68</v>
      </c>
      <c r="C55" s="8" t="s">
        <v>71</v>
      </c>
      <c r="D55" s="268"/>
      <c r="E55" s="305"/>
      <c r="F55" s="271"/>
    </row>
    <row r="56" spans="2:6" x14ac:dyDescent="0.15">
      <c r="B56" s="12"/>
      <c r="C56" s="8" t="s">
        <v>72</v>
      </c>
      <c r="D56" s="268"/>
      <c r="E56" s="305"/>
      <c r="F56" s="271"/>
    </row>
    <row r="57" spans="2:6" x14ac:dyDescent="0.15">
      <c r="B57" s="13" t="s">
        <v>37</v>
      </c>
      <c r="C57" s="8" t="s">
        <v>73</v>
      </c>
      <c r="D57" s="268"/>
      <c r="E57" s="305"/>
      <c r="F57" s="271"/>
    </row>
    <row r="58" spans="2:6" x14ac:dyDescent="0.15">
      <c r="B58" s="12"/>
      <c r="C58" s="8" t="s">
        <v>74</v>
      </c>
      <c r="D58" s="268"/>
      <c r="E58" s="305"/>
      <c r="F58" s="271"/>
    </row>
    <row r="59" spans="2:6" x14ac:dyDescent="0.15">
      <c r="B59" s="13" t="s">
        <v>38</v>
      </c>
      <c r="C59" s="18" t="s">
        <v>75</v>
      </c>
      <c r="D59" s="268"/>
      <c r="E59" s="305"/>
      <c r="F59" s="271"/>
    </row>
    <row r="60" spans="2:6" x14ac:dyDescent="0.15">
      <c r="B60" s="14"/>
      <c r="C60" s="15"/>
      <c r="D60" s="268"/>
      <c r="E60" s="305"/>
      <c r="F60" s="271"/>
    </row>
    <row r="61" spans="2:6" ht="14.25" thickBot="1" x14ac:dyDescent="0.2">
      <c r="B61" s="14"/>
      <c r="C61" s="15"/>
      <c r="D61" s="269"/>
      <c r="E61" s="306"/>
      <c r="F61" s="272"/>
    </row>
    <row r="62" spans="2:6" x14ac:dyDescent="0.15">
      <c r="B62" s="298" t="s">
        <v>77</v>
      </c>
      <c r="C62" s="19" t="s">
        <v>78</v>
      </c>
      <c r="D62" s="307" t="s">
        <v>81</v>
      </c>
      <c r="E62" s="296" t="s">
        <v>358</v>
      </c>
      <c r="F62" s="301"/>
    </row>
    <row r="63" spans="2:6" x14ac:dyDescent="0.15">
      <c r="B63" s="299"/>
      <c r="C63" s="20" t="s">
        <v>79</v>
      </c>
      <c r="D63" s="308"/>
      <c r="E63" s="305"/>
      <c r="F63" s="302"/>
    </row>
    <row r="64" spans="2:6" ht="14.25" thickBot="1" x14ac:dyDescent="0.2">
      <c r="B64" s="300"/>
      <c r="C64" s="20" t="s">
        <v>80</v>
      </c>
      <c r="D64" s="309"/>
      <c r="E64" s="306"/>
      <c r="F64" s="303"/>
    </row>
    <row r="65" spans="2:6" ht="28.5" customHeight="1" x14ac:dyDescent="0.15">
      <c r="B65" s="298" t="s">
        <v>82</v>
      </c>
      <c r="C65" s="19" t="s">
        <v>83</v>
      </c>
      <c r="D65" s="294" t="s">
        <v>85</v>
      </c>
      <c r="E65" s="296" t="s">
        <v>1</v>
      </c>
      <c r="F65" s="292"/>
    </row>
    <row r="66" spans="2:6" ht="14.25" customHeight="1" thickBot="1" x14ac:dyDescent="0.2">
      <c r="B66" s="304"/>
      <c r="C66" s="21" t="s">
        <v>84</v>
      </c>
      <c r="D66" s="295"/>
      <c r="E66" s="297"/>
      <c r="F66" s="293"/>
    </row>
    <row r="67" spans="2:6" ht="14.25" thickTop="1" x14ac:dyDescent="0.15"/>
  </sheetData>
  <customSheetViews>
    <customSheetView guid="{F6F099BF-A37E-4648-970B-C5500207F9F8}" showPageBreaks="1" view="pageBreakPreview" topLeftCell="A40">
      <selection activeCell="A36" sqref="A36:XFD37"/>
      <pageMargins left="0.51181102362204722" right="0.31496062992125984" top="0.35433070866141736" bottom="0.35433070866141736" header="0.31496062992125984" footer="0.31496062992125984"/>
      <pageSetup paperSize="9" orientation="portrait" r:id="rId1"/>
    </customSheetView>
  </customSheetViews>
  <mergeCells count="32">
    <mergeCell ref="F65:F66"/>
    <mergeCell ref="D65:D66"/>
    <mergeCell ref="E65:E66"/>
    <mergeCell ref="B51:F51"/>
    <mergeCell ref="B52:C52"/>
    <mergeCell ref="F53:F61"/>
    <mergeCell ref="B62:B64"/>
    <mergeCell ref="F62:F64"/>
    <mergeCell ref="B65:B66"/>
    <mergeCell ref="D53:D61"/>
    <mergeCell ref="E53:E61"/>
    <mergeCell ref="D62:D64"/>
    <mergeCell ref="E62:E64"/>
    <mergeCell ref="D25:D26"/>
    <mergeCell ref="E25:E26"/>
    <mergeCell ref="F25:F26"/>
    <mergeCell ref="B28:B31"/>
    <mergeCell ref="E28:E31"/>
    <mergeCell ref="F28:F31"/>
    <mergeCell ref="D14:D15"/>
    <mergeCell ref="F14:F15"/>
    <mergeCell ref="F16:F21"/>
    <mergeCell ref="D23:D24"/>
    <mergeCell ref="E23:E24"/>
    <mergeCell ref="F23:F24"/>
    <mergeCell ref="D9:D13"/>
    <mergeCell ref="F9:F13"/>
    <mergeCell ref="B2:F2"/>
    <mergeCell ref="B3:C3"/>
    <mergeCell ref="B4:B8"/>
    <mergeCell ref="E4:E8"/>
    <mergeCell ref="F4:F8"/>
  </mergeCells>
  <phoneticPr fontId="2"/>
  <pageMargins left="0.51181102362204722" right="0.31496062992125984" top="0.35433070866141736" bottom="0.35433070866141736" header="0.31496062992125984" footer="0.31496062992125984"/>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00"/>
  </sheetPr>
  <dimension ref="A2:L35"/>
  <sheetViews>
    <sheetView tabSelected="1" view="pageBreakPreview" topLeftCell="A7" zoomScale="130" zoomScaleNormal="100" zoomScaleSheetLayoutView="130" workbookViewId="0">
      <selection activeCell="B33" sqref="B33:G33"/>
    </sheetView>
  </sheetViews>
  <sheetFormatPr defaultRowHeight="13.5" x14ac:dyDescent="0.15"/>
  <cols>
    <col min="1" max="1" width="5.75" customWidth="1"/>
    <col min="2" max="2" width="6.125" customWidth="1"/>
    <col min="3" max="3" width="8" customWidth="1"/>
    <col min="4" max="4" width="9" customWidth="1"/>
    <col min="5" max="5" width="7.375" customWidth="1"/>
    <col min="6" max="6" width="8.75" customWidth="1"/>
    <col min="7" max="11" width="8.625" customWidth="1"/>
    <col min="12" max="12" width="7" customWidth="1"/>
  </cols>
  <sheetData>
    <row r="2" spans="2:12" ht="25.5" x14ac:dyDescent="0.25">
      <c r="B2" s="353" t="s">
        <v>120</v>
      </c>
      <c r="C2" s="353"/>
      <c r="D2" s="353"/>
      <c r="E2" s="353"/>
      <c r="F2" s="353"/>
      <c r="G2" s="353"/>
      <c r="H2" s="353"/>
      <c r="I2" s="353"/>
      <c r="J2" s="353"/>
      <c r="K2" s="353"/>
      <c r="L2" s="353"/>
    </row>
    <row r="3" spans="2:12" ht="26.25" thickBot="1" x14ac:dyDescent="0.3">
      <c r="B3" s="153"/>
      <c r="C3" s="153"/>
      <c r="D3" s="153"/>
      <c r="E3" s="153"/>
      <c r="F3" s="153"/>
      <c r="G3" s="153"/>
      <c r="H3" s="153"/>
      <c r="I3" s="153"/>
      <c r="J3" s="153"/>
      <c r="K3" s="153"/>
      <c r="L3" s="153"/>
    </row>
    <row r="4" spans="2:12" ht="24.95" customHeight="1" x14ac:dyDescent="0.15">
      <c r="B4" s="366" t="s">
        <v>121</v>
      </c>
      <c r="C4" s="357"/>
      <c r="D4" s="367"/>
      <c r="E4" s="47" t="s">
        <v>146</v>
      </c>
      <c r="F4" s="371" t="s">
        <v>342</v>
      </c>
      <c r="G4" s="354" t="s">
        <v>5</v>
      </c>
      <c r="H4" s="1" t="s">
        <v>2</v>
      </c>
      <c r="I4" s="356" t="s">
        <v>122</v>
      </c>
      <c r="J4" s="357"/>
      <c r="K4" s="358"/>
    </row>
    <row r="5" spans="2:12" ht="24.95" customHeight="1" x14ac:dyDescent="0.15">
      <c r="B5" s="320"/>
      <c r="C5" s="360"/>
      <c r="D5" s="321"/>
      <c r="E5" s="48" t="s">
        <v>145</v>
      </c>
      <c r="F5" s="372"/>
      <c r="G5" s="355"/>
      <c r="H5" s="45" t="s">
        <v>4</v>
      </c>
      <c r="I5" s="359"/>
      <c r="J5" s="360"/>
      <c r="K5" s="361"/>
    </row>
    <row r="6" spans="2:12" ht="24.95" customHeight="1" x14ac:dyDescent="0.15">
      <c r="B6" s="46" t="s">
        <v>123</v>
      </c>
      <c r="C6" s="49"/>
      <c r="D6" s="49"/>
      <c r="E6" s="44" t="s">
        <v>124</v>
      </c>
      <c r="F6" s="166" t="s">
        <v>3</v>
      </c>
      <c r="G6" s="172">
        <v>6.3</v>
      </c>
      <c r="H6" s="44" t="s">
        <v>0</v>
      </c>
      <c r="I6" s="384"/>
      <c r="J6" s="385"/>
      <c r="K6" s="386"/>
    </row>
    <row r="7" spans="2:12" ht="24.95" customHeight="1" x14ac:dyDescent="0.15">
      <c r="B7" s="316" t="s">
        <v>125</v>
      </c>
      <c r="C7" s="317"/>
      <c r="D7" s="49"/>
      <c r="E7" s="44" t="s">
        <v>7</v>
      </c>
      <c r="F7" s="166" t="s">
        <v>3</v>
      </c>
      <c r="G7" s="362">
        <v>8.1</v>
      </c>
      <c r="H7" s="44" t="s">
        <v>0</v>
      </c>
      <c r="I7" s="384"/>
      <c r="J7" s="385"/>
      <c r="K7" s="386"/>
    </row>
    <row r="8" spans="2:12" ht="24.95" customHeight="1" x14ac:dyDescent="0.15">
      <c r="B8" s="318"/>
      <c r="C8" s="319"/>
      <c r="D8" s="49"/>
      <c r="E8" s="44" t="s">
        <v>127</v>
      </c>
      <c r="F8" s="166" t="s">
        <v>3</v>
      </c>
      <c r="G8" s="363"/>
      <c r="H8" s="44" t="s">
        <v>0</v>
      </c>
      <c r="I8" s="384" t="s">
        <v>126</v>
      </c>
      <c r="J8" s="385"/>
      <c r="K8" s="386"/>
    </row>
    <row r="9" spans="2:12" ht="24.95" customHeight="1" x14ac:dyDescent="0.15">
      <c r="B9" s="318"/>
      <c r="C9" s="319"/>
      <c r="D9" s="49"/>
      <c r="E9" s="44" t="s">
        <v>6</v>
      </c>
      <c r="F9" s="166" t="s">
        <v>128</v>
      </c>
      <c r="G9" s="364"/>
      <c r="H9" s="44" t="s">
        <v>0</v>
      </c>
      <c r="I9" s="384"/>
      <c r="J9" s="385"/>
      <c r="K9" s="386"/>
    </row>
    <row r="10" spans="2:12" ht="24.95" customHeight="1" x14ac:dyDescent="0.15">
      <c r="B10" s="320"/>
      <c r="C10" s="321"/>
      <c r="D10" s="49"/>
      <c r="E10" s="44" t="s">
        <v>129</v>
      </c>
      <c r="F10" s="166" t="s">
        <v>130</v>
      </c>
      <c r="G10" s="172">
        <v>11</v>
      </c>
      <c r="H10" s="44" t="s">
        <v>0</v>
      </c>
      <c r="I10" s="384"/>
      <c r="J10" s="385"/>
      <c r="K10" s="386"/>
    </row>
    <row r="11" spans="2:12" ht="24.95" customHeight="1" thickBot="1" x14ac:dyDescent="0.2">
      <c r="B11" s="368" t="s">
        <v>131</v>
      </c>
      <c r="C11" s="369"/>
      <c r="D11" s="370"/>
      <c r="E11" s="167" t="s">
        <v>132</v>
      </c>
      <c r="F11" s="167"/>
      <c r="G11" s="173">
        <v>21</v>
      </c>
      <c r="H11" s="167" t="s">
        <v>0</v>
      </c>
      <c r="I11" s="382"/>
      <c r="J11" s="369"/>
      <c r="K11" s="383"/>
    </row>
    <row r="12" spans="2:12" ht="19.5" customHeight="1" thickBot="1" x14ac:dyDescent="0.2">
      <c r="B12" s="365" t="s">
        <v>144</v>
      </c>
      <c r="C12" s="365"/>
      <c r="D12" s="365"/>
      <c r="E12" s="365"/>
      <c r="F12" s="365"/>
      <c r="G12" s="365"/>
      <c r="H12" s="365"/>
      <c r="I12" s="365"/>
      <c r="J12" s="168"/>
      <c r="K12" s="168"/>
      <c r="L12" s="168"/>
    </row>
    <row r="13" spans="2:12" ht="50.1" customHeight="1" thickBot="1" x14ac:dyDescent="0.2">
      <c r="B13" s="322" t="s">
        <v>133</v>
      </c>
      <c r="C13" s="322"/>
      <c r="D13" s="322"/>
      <c r="E13" s="322"/>
      <c r="F13" s="322"/>
      <c r="G13" s="322"/>
      <c r="H13" s="322"/>
      <c r="I13" s="322"/>
      <c r="J13" s="322"/>
      <c r="K13" s="322"/>
      <c r="L13" s="169"/>
    </row>
    <row r="14" spans="2:12" ht="50.1" customHeight="1" x14ac:dyDescent="0.15">
      <c r="B14" s="71"/>
      <c r="C14" s="71"/>
      <c r="D14" s="71"/>
      <c r="E14" s="71"/>
      <c r="F14" s="71"/>
      <c r="G14" s="71"/>
      <c r="H14" s="71"/>
      <c r="I14" s="71"/>
      <c r="J14" s="71"/>
      <c r="K14" s="71"/>
      <c r="L14" s="71"/>
    </row>
    <row r="15" spans="2:12" ht="32.25" customHeight="1" x14ac:dyDescent="0.15">
      <c r="B15" s="323" t="s">
        <v>343</v>
      </c>
      <c r="C15" s="323"/>
      <c r="D15" s="323"/>
      <c r="E15" s="323"/>
      <c r="F15" s="323"/>
      <c r="G15" s="323"/>
      <c r="H15" s="323"/>
      <c r="I15" s="323"/>
      <c r="J15" s="323"/>
      <c r="K15" s="323"/>
      <c r="L15" s="71"/>
    </row>
    <row r="16" spans="2:12" ht="14.25" thickBot="1" x14ac:dyDescent="0.2">
      <c r="B16" s="390"/>
      <c r="C16" s="390"/>
      <c r="D16" s="390"/>
      <c r="E16" s="390"/>
      <c r="F16" s="390"/>
      <c r="G16" s="390"/>
      <c r="H16" s="390"/>
      <c r="I16" s="390"/>
      <c r="J16" s="390"/>
      <c r="K16" s="390"/>
      <c r="L16" s="390"/>
    </row>
    <row r="17" spans="1:11" ht="13.5" customHeight="1" x14ac:dyDescent="0.15">
      <c r="A17" s="170"/>
      <c r="B17" s="333" t="s">
        <v>134</v>
      </c>
      <c r="C17" s="333"/>
      <c r="D17" s="334"/>
      <c r="E17" s="171" t="s">
        <v>8</v>
      </c>
      <c r="F17" s="333"/>
      <c r="G17" s="334"/>
      <c r="H17" s="339" t="s">
        <v>11</v>
      </c>
      <c r="I17" s="339"/>
      <c r="J17" s="340"/>
      <c r="K17" s="387" t="s">
        <v>135</v>
      </c>
    </row>
    <row r="18" spans="1:11" x14ac:dyDescent="0.15">
      <c r="A18" s="170"/>
      <c r="B18" s="335"/>
      <c r="C18" s="335"/>
      <c r="D18" s="336"/>
      <c r="E18" s="55" t="s">
        <v>9</v>
      </c>
      <c r="F18" s="335" t="s">
        <v>150</v>
      </c>
      <c r="G18" s="336"/>
      <c r="H18" s="341"/>
      <c r="I18" s="341"/>
      <c r="J18" s="342"/>
      <c r="K18" s="388"/>
    </row>
    <row r="19" spans="1:11" ht="14.25" thickBot="1" x14ac:dyDescent="0.2">
      <c r="A19" s="170"/>
      <c r="B19" s="337"/>
      <c r="C19" s="337"/>
      <c r="D19" s="338"/>
      <c r="E19" s="55" t="s">
        <v>10</v>
      </c>
      <c r="F19" s="51"/>
      <c r="G19" s="59"/>
      <c r="H19" s="343"/>
      <c r="I19" s="343"/>
      <c r="J19" s="344"/>
      <c r="K19" s="389"/>
    </row>
    <row r="20" spans="1:11" ht="14.25" customHeight="1" x14ac:dyDescent="0.15">
      <c r="A20" s="170"/>
      <c r="B20" s="391"/>
      <c r="C20" s="391"/>
      <c r="D20" s="53"/>
      <c r="E20" s="56">
        <v>3000</v>
      </c>
      <c r="F20" s="329" t="s">
        <v>365</v>
      </c>
      <c r="G20" s="330"/>
      <c r="H20" s="345" t="s">
        <v>148</v>
      </c>
      <c r="I20" s="345"/>
      <c r="J20" s="346"/>
      <c r="K20" s="224" t="s">
        <v>1</v>
      </c>
    </row>
    <row r="21" spans="1:11" ht="15" customHeight="1" x14ac:dyDescent="0.15">
      <c r="A21" s="170"/>
      <c r="B21" s="335"/>
      <c r="C21" s="335"/>
      <c r="D21" s="54"/>
      <c r="E21" s="57">
        <v>6000</v>
      </c>
      <c r="F21" s="331" t="s">
        <v>365</v>
      </c>
      <c r="G21" s="332"/>
      <c r="H21" s="347" t="s">
        <v>147</v>
      </c>
      <c r="I21" s="347"/>
      <c r="J21" s="348"/>
      <c r="K21" s="225" t="s">
        <v>1</v>
      </c>
    </row>
    <row r="22" spans="1:11" ht="15" customHeight="1" x14ac:dyDescent="0.15">
      <c r="A22" s="170"/>
      <c r="B22" s="335" t="s">
        <v>136</v>
      </c>
      <c r="C22" s="335"/>
      <c r="D22" s="336"/>
      <c r="E22" s="58" t="s">
        <v>12</v>
      </c>
      <c r="F22" s="331" t="s">
        <v>21</v>
      </c>
      <c r="G22" s="332"/>
      <c r="H22" s="349" t="s">
        <v>13</v>
      </c>
      <c r="I22" s="349"/>
      <c r="J22" s="350"/>
      <c r="K22" s="225" t="s">
        <v>1</v>
      </c>
    </row>
    <row r="23" spans="1:11" ht="24" customHeight="1" x14ac:dyDescent="0.15">
      <c r="A23" s="170"/>
      <c r="B23" s="335" t="s">
        <v>137</v>
      </c>
      <c r="C23" s="335"/>
      <c r="D23" s="336"/>
      <c r="E23" s="58" t="s">
        <v>14</v>
      </c>
      <c r="F23" s="331" t="s">
        <v>15</v>
      </c>
      <c r="G23" s="332"/>
      <c r="H23" s="351" t="s">
        <v>16</v>
      </c>
      <c r="I23" s="351"/>
      <c r="J23" s="352"/>
      <c r="K23" s="225" t="s">
        <v>1</v>
      </c>
    </row>
    <row r="24" spans="1:11" ht="24" customHeight="1" x14ac:dyDescent="0.15">
      <c r="A24" s="170"/>
      <c r="B24" s="50"/>
      <c r="C24" s="50"/>
      <c r="D24" s="52"/>
      <c r="E24" s="58" t="s">
        <v>17</v>
      </c>
      <c r="F24" s="380" t="s">
        <v>357</v>
      </c>
      <c r="G24" s="381"/>
      <c r="H24" s="351" t="s">
        <v>18</v>
      </c>
      <c r="I24" s="351"/>
      <c r="J24" s="352"/>
      <c r="K24" s="209" t="s">
        <v>1</v>
      </c>
    </row>
    <row r="25" spans="1:11" ht="27.75" customHeight="1" x14ac:dyDescent="0.15">
      <c r="A25" s="170"/>
      <c r="B25" s="60"/>
      <c r="C25" s="60"/>
      <c r="D25" s="61"/>
      <c r="E25" s="62"/>
      <c r="F25" s="324" t="s">
        <v>149</v>
      </c>
      <c r="G25" s="325"/>
      <c r="H25" s="326"/>
      <c r="I25" s="327"/>
      <c r="J25" s="328"/>
      <c r="K25" s="210" t="s">
        <v>1</v>
      </c>
    </row>
    <row r="26" spans="1:11" ht="15" customHeight="1" x14ac:dyDescent="0.15">
      <c r="A26" s="170"/>
      <c r="B26" s="373" t="s">
        <v>138</v>
      </c>
      <c r="C26" s="373"/>
      <c r="D26" s="374"/>
      <c r="E26" s="72">
        <v>5000</v>
      </c>
      <c r="F26" s="375" t="s">
        <v>527</v>
      </c>
      <c r="G26" s="376"/>
      <c r="H26" s="377" t="s">
        <v>526</v>
      </c>
      <c r="I26" s="373"/>
      <c r="J26" s="374"/>
      <c r="K26" s="211" t="s">
        <v>1</v>
      </c>
    </row>
    <row r="27" spans="1:11" ht="15" customHeight="1" x14ac:dyDescent="0.15">
      <c r="A27" s="170"/>
      <c r="B27" s="311" t="s">
        <v>139</v>
      </c>
      <c r="C27" s="311"/>
      <c r="D27" s="312"/>
      <c r="E27" s="73" t="s">
        <v>20</v>
      </c>
      <c r="F27" s="311" t="s">
        <v>337</v>
      </c>
      <c r="G27" s="312"/>
      <c r="H27" s="310"/>
      <c r="I27" s="311"/>
      <c r="J27" s="312"/>
      <c r="K27" s="212" t="s">
        <v>1</v>
      </c>
    </row>
    <row r="28" spans="1:11" ht="15" customHeight="1" x14ac:dyDescent="0.15">
      <c r="A28" s="170"/>
      <c r="B28" s="311" t="s">
        <v>140</v>
      </c>
      <c r="C28" s="311"/>
      <c r="D28" s="312"/>
      <c r="E28" s="73" t="s">
        <v>20</v>
      </c>
      <c r="F28" s="375" t="s">
        <v>367</v>
      </c>
      <c r="G28" s="376"/>
      <c r="H28" s="377" t="s">
        <v>366</v>
      </c>
      <c r="I28" s="373"/>
      <c r="J28" s="374"/>
      <c r="K28" s="212" t="s">
        <v>1</v>
      </c>
    </row>
    <row r="29" spans="1:11" ht="15" customHeight="1" x14ac:dyDescent="0.15">
      <c r="A29" s="170"/>
      <c r="B29" s="311" t="s">
        <v>141</v>
      </c>
      <c r="C29" s="311"/>
      <c r="D29" s="312"/>
      <c r="E29" s="73" t="s">
        <v>20</v>
      </c>
      <c r="F29" s="311" t="s">
        <v>337</v>
      </c>
      <c r="G29" s="312"/>
      <c r="H29" s="310"/>
      <c r="I29" s="311"/>
      <c r="J29" s="312"/>
      <c r="K29" s="212" t="s">
        <v>1</v>
      </c>
    </row>
    <row r="30" spans="1:11" ht="15" customHeight="1" x14ac:dyDescent="0.15">
      <c r="A30" s="170"/>
      <c r="B30" s="378" t="s">
        <v>142</v>
      </c>
      <c r="C30" s="378"/>
      <c r="D30" s="379"/>
      <c r="E30" s="74" t="s">
        <v>20</v>
      </c>
      <c r="F30" s="311" t="s">
        <v>337</v>
      </c>
      <c r="G30" s="312"/>
      <c r="H30" s="310"/>
      <c r="I30" s="311"/>
      <c r="J30" s="312"/>
      <c r="K30" s="213" t="s">
        <v>1</v>
      </c>
    </row>
    <row r="31" spans="1:11" ht="15" customHeight="1" x14ac:dyDescent="0.15">
      <c r="A31" s="170"/>
      <c r="B31" s="311" t="s">
        <v>143</v>
      </c>
      <c r="C31" s="311"/>
      <c r="D31" s="312"/>
      <c r="E31" s="73" t="s">
        <v>20</v>
      </c>
      <c r="F31" s="311" t="s">
        <v>337</v>
      </c>
      <c r="G31" s="312"/>
      <c r="H31" s="310"/>
      <c r="I31" s="311"/>
      <c r="J31" s="312"/>
      <c r="K31" s="214" t="s">
        <v>1</v>
      </c>
    </row>
    <row r="32" spans="1:11" ht="15" customHeight="1" x14ac:dyDescent="0.15">
      <c r="A32" s="170"/>
      <c r="B32" s="311" t="s">
        <v>151</v>
      </c>
      <c r="C32" s="311"/>
      <c r="D32" s="312"/>
      <c r="E32" s="73" t="s">
        <v>20</v>
      </c>
      <c r="F32" s="311" t="s">
        <v>337</v>
      </c>
      <c r="G32" s="312"/>
      <c r="H32" s="310"/>
      <c r="I32" s="311"/>
      <c r="J32" s="312"/>
      <c r="K32" s="214" t="s">
        <v>1</v>
      </c>
    </row>
    <row r="33" spans="1:11" ht="14.25" x14ac:dyDescent="0.15">
      <c r="A33" s="170"/>
      <c r="B33" s="64"/>
      <c r="C33" s="64"/>
      <c r="D33" s="65"/>
      <c r="E33" s="63"/>
      <c r="F33" s="64"/>
      <c r="G33" s="65"/>
      <c r="H33" s="310"/>
      <c r="I33" s="311"/>
      <c r="J33" s="312"/>
      <c r="K33" s="66"/>
    </row>
    <row r="34" spans="1:11" ht="15" thickBot="1" x14ac:dyDescent="0.2">
      <c r="A34" s="170"/>
      <c r="B34" s="67"/>
      <c r="C34" s="67"/>
      <c r="D34" s="68"/>
      <c r="E34" s="69"/>
      <c r="F34" s="67"/>
      <c r="G34" s="68"/>
      <c r="H34" s="313"/>
      <c r="I34" s="314"/>
      <c r="J34" s="315"/>
      <c r="K34" s="70"/>
    </row>
    <row r="35" spans="1:11" ht="14.25" thickTop="1" x14ac:dyDescent="0.15"/>
  </sheetData>
  <customSheetViews>
    <customSheetView guid="{F6F099BF-A37E-4648-970B-C5500207F9F8}" scale="130" showPageBreaks="1" view="pageBreakPreview">
      <selection activeCell="G6" sqref="G6"/>
      <pageMargins left="0.55118110236220474" right="0" top="0.35433070866141736" bottom="0.19685039370078741" header="0.51181102362204722" footer="0.51181102362204722"/>
      <pageSetup paperSize="9" orientation="portrait" r:id="rId1"/>
      <headerFooter alignWithMargins="0"/>
    </customSheetView>
  </customSheetViews>
  <mergeCells count="62">
    <mergeCell ref="F24:G24"/>
    <mergeCell ref="I11:K11"/>
    <mergeCell ref="I6:K6"/>
    <mergeCell ref="I7:K7"/>
    <mergeCell ref="I8:K8"/>
    <mergeCell ref="I9:K9"/>
    <mergeCell ref="I10:K10"/>
    <mergeCell ref="K17:K19"/>
    <mergeCell ref="F17:G17"/>
    <mergeCell ref="F18:G18"/>
    <mergeCell ref="B16:L16"/>
    <mergeCell ref="B20:C20"/>
    <mergeCell ref="B21:C21"/>
    <mergeCell ref="B23:D23"/>
    <mergeCell ref="B22:D22"/>
    <mergeCell ref="F22:G22"/>
    <mergeCell ref="B28:D28"/>
    <mergeCell ref="B29:D29"/>
    <mergeCell ref="H28:J28"/>
    <mergeCell ref="H29:J29"/>
    <mergeCell ref="B32:D32"/>
    <mergeCell ref="B30:D30"/>
    <mergeCell ref="B31:D31"/>
    <mergeCell ref="F28:G28"/>
    <mergeCell ref="F29:G29"/>
    <mergeCell ref="F30:G30"/>
    <mergeCell ref="F31:G31"/>
    <mergeCell ref="F32:G32"/>
    <mergeCell ref="H30:J30"/>
    <mergeCell ref="H31:J31"/>
    <mergeCell ref="H32:J32"/>
    <mergeCell ref="B26:D26"/>
    <mergeCell ref="B27:D27"/>
    <mergeCell ref="F26:G26"/>
    <mergeCell ref="F27:G27"/>
    <mergeCell ref="H26:J26"/>
    <mergeCell ref="H27:J27"/>
    <mergeCell ref="F23:G23"/>
    <mergeCell ref="B2:L2"/>
    <mergeCell ref="G4:G5"/>
    <mergeCell ref="I4:K5"/>
    <mergeCell ref="G7:G9"/>
    <mergeCell ref="B12:I12"/>
    <mergeCell ref="B4:D5"/>
    <mergeCell ref="B11:D11"/>
    <mergeCell ref="F4:F5"/>
    <mergeCell ref="H33:J33"/>
    <mergeCell ref="H34:J34"/>
    <mergeCell ref="B7:C10"/>
    <mergeCell ref="B13:K13"/>
    <mergeCell ref="B15:K15"/>
    <mergeCell ref="F25:G25"/>
    <mergeCell ref="H25:J25"/>
    <mergeCell ref="F20:G20"/>
    <mergeCell ref="F21:G21"/>
    <mergeCell ref="B17:D19"/>
    <mergeCell ref="H17:J19"/>
    <mergeCell ref="H20:J20"/>
    <mergeCell ref="H21:J21"/>
    <mergeCell ref="H22:J22"/>
    <mergeCell ref="H23:J23"/>
    <mergeCell ref="H24:J24"/>
  </mergeCells>
  <phoneticPr fontId="2"/>
  <pageMargins left="0.78740157480314965" right="0" top="0.74803149606299213" bottom="0.74803149606299213" header="0.31496062992125984" footer="0.31496062992125984"/>
  <pageSetup paperSize="9" orientation="portrait"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F37"/>
  <sheetViews>
    <sheetView tabSelected="1" view="pageBreakPreview" zoomScale="130" zoomScaleNormal="100" zoomScaleSheetLayoutView="130" workbookViewId="0">
      <selection activeCell="B33" sqref="B33:G33"/>
    </sheetView>
  </sheetViews>
  <sheetFormatPr defaultRowHeight="13.5" x14ac:dyDescent="0.15"/>
  <cols>
    <col min="1" max="1" width="17.875" customWidth="1"/>
    <col min="2" max="6" width="14.625" customWidth="1"/>
    <col min="252" max="252" width="17.875" customWidth="1"/>
    <col min="253" max="257" width="14.625" customWidth="1"/>
    <col min="258" max="258" width="12.625" customWidth="1"/>
    <col min="508" max="508" width="17.875" customWidth="1"/>
    <col min="509" max="513" width="14.625" customWidth="1"/>
    <col min="514" max="514" width="12.625" customWidth="1"/>
    <col min="764" max="764" width="17.875" customWidth="1"/>
    <col min="765" max="769" width="14.625" customWidth="1"/>
    <col min="770" max="770" width="12.625" customWidth="1"/>
    <col min="1020" max="1020" width="17.875" customWidth="1"/>
    <col min="1021" max="1025" width="14.625" customWidth="1"/>
    <col min="1026" max="1026" width="12.625" customWidth="1"/>
    <col min="1276" max="1276" width="17.875" customWidth="1"/>
    <col min="1277" max="1281" width="14.625" customWidth="1"/>
    <col min="1282" max="1282" width="12.625" customWidth="1"/>
    <col min="1532" max="1532" width="17.875" customWidth="1"/>
    <col min="1533" max="1537" width="14.625" customWidth="1"/>
    <col min="1538" max="1538" width="12.625" customWidth="1"/>
    <col min="1788" max="1788" width="17.875" customWidth="1"/>
    <col min="1789" max="1793" width="14.625" customWidth="1"/>
    <col min="1794" max="1794" width="12.625" customWidth="1"/>
    <col min="2044" max="2044" width="17.875" customWidth="1"/>
    <col min="2045" max="2049" width="14.625" customWidth="1"/>
    <col min="2050" max="2050" width="12.625" customWidth="1"/>
    <col min="2300" max="2300" width="17.875" customWidth="1"/>
    <col min="2301" max="2305" width="14.625" customWidth="1"/>
    <col min="2306" max="2306" width="12.625" customWidth="1"/>
    <col min="2556" max="2556" width="17.875" customWidth="1"/>
    <col min="2557" max="2561" width="14.625" customWidth="1"/>
    <col min="2562" max="2562" width="12.625" customWidth="1"/>
    <col min="2812" max="2812" width="17.875" customWidth="1"/>
    <col min="2813" max="2817" width="14.625" customWidth="1"/>
    <col min="2818" max="2818" width="12.625" customWidth="1"/>
    <col min="3068" max="3068" width="17.875" customWidth="1"/>
    <col min="3069" max="3073" width="14.625" customWidth="1"/>
    <col min="3074" max="3074" width="12.625" customWidth="1"/>
    <col min="3324" max="3324" width="17.875" customWidth="1"/>
    <col min="3325" max="3329" width="14.625" customWidth="1"/>
    <col min="3330" max="3330" width="12.625" customWidth="1"/>
    <col min="3580" max="3580" width="17.875" customWidth="1"/>
    <col min="3581" max="3585" width="14.625" customWidth="1"/>
    <col min="3586" max="3586" width="12.625" customWidth="1"/>
    <col min="3836" max="3836" width="17.875" customWidth="1"/>
    <col min="3837" max="3841" width="14.625" customWidth="1"/>
    <col min="3842" max="3842" width="12.625" customWidth="1"/>
    <col min="4092" max="4092" width="17.875" customWidth="1"/>
    <col min="4093" max="4097" width="14.625" customWidth="1"/>
    <col min="4098" max="4098" width="12.625" customWidth="1"/>
    <col min="4348" max="4348" width="17.875" customWidth="1"/>
    <col min="4349" max="4353" width="14.625" customWidth="1"/>
    <col min="4354" max="4354" width="12.625" customWidth="1"/>
    <col min="4604" max="4604" width="17.875" customWidth="1"/>
    <col min="4605" max="4609" width="14.625" customWidth="1"/>
    <col min="4610" max="4610" width="12.625" customWidth="1"/>
    <col min="4860" max="4860" width="17.875" customWidth="1"/>
    <col min="4861" max="4865" width="14.625" customWidth="1"/>
    <col min="4866" max="4866" width="12.625" customWidth="1"/>
    <col min="5116" max="5116" width="17.875" customWidth="1"/>
    <col min="5117" max="5121" width="14.625" customWidth="1"/>
    <col min="5122" max="5122" width="12.625" customWidth="1"/>
    <col min="5372" max="5372" width="17.875" customWidth="1"/>
    <col min="5373" max="5377" width="14.625" customWidth="1"/>
    <col min="5378" max="5378" width="12.625" customWidth="1"/>
    <col min="5628" max="5628" width="17.875" customWidth="1"/>
    <col min="5629" max="5633" width="14.625" customWidth="1"/>
    <col min="5634" max="5634" width="12.625" customWidth="1"/>
    <col min="5884" max="5884" width="17.875" customWidth="1"/>
    <col min="5885" max="5889" width="14.625" customWidth="1"/>
    <col min="5890" max="5890" width="12.625" customWidth="1"/>
    <col min="6140" max="6140" width="17.875" customWidth="1"/>
    <col min="6141" max="6145" width="14.625" customWidth="1"/>
    <col min="6146" max="6146" width="12.625" customWidth="1"/>
    <col min="6396" max="6396" width="17.875" customWidth="1"/>
    <col min="6397" max="6401" width="14.625" customWidth="1"/>
    <col min="6402" max="6402" width="12.625" customWidth="1"/>
    <col min="6652" max="6652" width="17.875" customWidth="1"/>
    <col min="6653" max="6657" width="14.625" customWidth="1"/>
    <col min="6658" max="6658" width="12.625" customWidth="1"/>
    <col min="6908" max="6908" width="17.875" customWidth="1"/>
    <col min="6909" max="6913" width="14.625" customWidth="1"/>
    <col min="6914" max="6914" width="12.625" customWidth="1"/>
    <col min="7164" max="7164" width="17.875" customWidth="1"/>
    <col min="7165" max="7169" width="14.625" customWidth="1"/>
    <col min="7170" max="7170" width="12.625" customWidth="1"/>
    <col min="7420" max="7420" width="17.875" customWidth="1"/>
    <col min="7421" max="7425" width="14.625" customWidth="1"/>
    <col min="7426" max="7426" width="12.625" customWidth="1"/>
    <col min="7676" max="7676" width="17.875" customWidth="1"/>
    <col min="7677" max="7681" width="14.625" customWidth="1"/>
    <col min="7682" max="7682" width="12.625" customWidth="1"/>
    <col min="7932" max="7932" width="17.875" customWidth="1"/>
    <col min="7933" max="7937" width="14.625" customWidth="1"/>
    <col min="7938" max="7938" width="12.625" customWidth="1"/>
    <col min="8188" max="8188" width="17.875" customWidth="1"/>
    <col min="8189" max="8193" width="14.625" customWidth="1"/>
    <col min="8194" max="8194" width="12.625" customWidth="1"/>
    <col min="8444" max="8444" width="17.875" customWidth="1"/>
    <col min="8445" max="8449" width="14.625" customWidth="1"/>
    <col min="8450" max="8450" width="12.625" customWidth="1"/>
    <col min="8700" max="8700" width="17.875" customWidth="1"/>
    <col min="8701" max="8705" width="14.625" customWidth="1"/>
    <col min="8706" max="8706" width="12.625" customWidth="1"/>
    <col min="8956" max="8956" width="17.875" customWidth="1"/>
    <col min="8957" max="8961" width="14.625" customWidth="1"/>
    <col min="8962" max="8962" width="12.625" customWidth="1"/>
    <col min="9212" max="9212" width="17.875" customWidth="1"/>
    <col min="9213" max="9217" width="14.625" customWidth="1"/>
    <col min="9218" max="9218" width="12.625" customWidth="1"/>
    <col min="9468" max="9468" width="17.875" customWidth="1"/>
    <col min="9469" max="9473" width="14.625" customWidth="1"/>
    <col min="9474" max="9474" width="12.625" customWidth="1"/>
    <col min="9724" max="9724" width="17.875" customWidth="1"/>
    <col min="9725" max="9729" width="14.625" customWidth="1"/>
    <col min="9730" max="9730" width="12.625" customWidth="1"/>
    <col min="9980" max="9980" width="17.875" customWidth="1"/>
    <col min="9981" max="9985" width="14.625" customWidth="1"/>
    <col min="9986" max="9986" width="12.625" customWidth="1"/>
    <col min="10236" max="10236" width="17.875" customWidth="1"/>
    <col min="10237" max="10241" width="14.625" customWidth="1"/>
    <col min="10242" max="10242" width="12.625" customWidth="1"/>
    <col min="10492" max="10492" width="17.875" customWidth="1"/>
    <col min="10493" max="10497" width="14.625" customWidth="1"/>
    <col min="10498" max="10498" width="12.625" customWidth="1"/>
    <col min="10748" max="10748" width="17.875" customWidth="1"/>
    <col min="10749" max="10753" width="14.625" customWidth="1"/>
    <col min="10754" max="10754" width="12.625" customWidth="1"/>
    <col min="11004" max="11004" width="17.875" customWidth="1"/>
    <col min="11005" max="11009" width="14.625" customWidth="1"/>
    <col min="11010" max="11010" width="12.625" customWidth="1"/>
    <col min="11260" max="11260" width="17.875" customWidth="1"/>
    <col min="11261" max="11265" width="14.625" customWidth="1"/>
    <col min="11266" max="11266" width="12.625" customWidth="1"/>
    <col min="11516" max="11516" width="17.875" customWidth="1"/>
    <col min="11517" max="11521" width="14.625" customWidth="1"/>
    <col min="11522" max="11522" width="12.625" customWidth="1"/>
    <col min="11772" max="11772" width="17.875" customWidth="1"/>
    <col min="11773" max="11777" width="14.625" customWidth="1"/>
    <col min="11778" max="11778" width="12.625" customWidth="1"/>
    <col min="12028" max="12028" width="17.875" customWidth="1"/>
    <col min="12029" max="12033" width="14.625" customWidth="1"/>
    <col min="12034" max="12034" width="12.625" customWidth="1"/>
    <col min="12284" max="12284" width="17.875" customWidth="1"/>
    <col min="12285" max="12289" width="14.625" customWidth="1"/>
    <col min="12290" max="12290" width="12.625" customWidth="1"/>
    <col min="12540" max="12540" width="17.875" customWidth="1"/>
    <col min="12541" max="12545" width="14.625" customWidth="1"/>
    <col min="12546" max="12546" width="12.625" customWidth="1"/>
    <col min="12796" max="12796" width="17.875" customWidth="1"/>
    <col min="12797" max="12801" width="14.625" customWidth="1"/>
    <col min="12802" max="12802" width="12.625" customWidth="1"/>
    <col min="13052" max="13052" width="17.875" customWidth="1"/>
    <col min="13053" max="13057" width="14.625" customWidth="1"/>
    <col min="13058" max="13058" width="12.625" customWidth="1"/>
    <col min="13308" max="13308" width="17.875" customWidth="1"/>
    <col min="13309" max="13313" width="14.625" customWidth="1"/>
    <col min="13314" max="13314" width="12.625" customWidth="1"/>
    <col min="13564" max="13564" width="17.875" customWidth="1"/>
    <col min="13565" max="13569" width="14.625" customWidth="1"/>
    <col min="13570" max="13570" width="12.625" customWidth="1"/>
    <col min="13820" max="13820" width="17.875" customWidth="1"/>
    <col min="13821" max="13825" width="14.625" customWidth="1"/>
    <col min="13826" max="13826" width="12.625" customWidth="1"/>
    <col min="14076" max="14076" width="17.875" customWidth="1"/>
    <col min="14077" max="14081" width="14.625" customWidth="1"/>
    <col min="14082" max="14082" width="12.625" customWidth="1"/>
    <col min="14332" max="14332" width="17.875" customWidth="1"/>
    <col min="14333" max="14337" width="14.625" customWidth="1"/>
    <col min="14338" max="14338" width="12.625" customWidth="1"/>
    <col min="14588" max="14588" width="17.875" customWidth="1"/>
    <col min="14589" max="14593" width="14.625" customWidth="1"/>
    <col min="14594" max="14594" width="12.625" customWidth="1"/>
    <col min="14844" max="14844" width="17.875" customWidth="1"/>
    <col min="14845" max="14849" width="14.625" customWidth="1"/>
    <col min="14850" max="14850" width="12.625" customWidth="1"/>
    <col min="15100" max="15100" width="17.875" customWidth="1"/>
    <col min="15101" max="15105" width="14.625" customWidth="1"/>
    <col min="15106" max="15106" width="12.625" customWidth="1"/>
    <col min="15356" max="15356" width="17.875" customWidth="1"/>
    <col min="15357" max="15361" width="14.625" customWidth="1"/>
    <col min="15362" max="15362" width="12.625" customWidth="1"/>
    <col min="15612" max="15612" width="17.875" customWidth="1"/>
    <col min="15613" max="15617" width="14.625" customWidth="1"/>
    <col min="15618" max="15618" width="12.625" customWidth="1"/>
    <col min="15868" max="15868" width="17.875" customWidth="1"/>
    <col min="15869" max="15873" width="14.625" customWidth="1"/>
    <col min="15874" max="15874" width="12.625" customWidth="1"/>
    <col min="16124" max="16124" width="17.875" customWidth="1"/>
    <col min="16125" max="16129" width="14.625" customWidth="1"/>
    <col min="16130" max="16130" width="12.625" customWidth="1"/>
  </cols>
  <sheetData>
    <row r="2" spans="1:6" s="75" customFormat="1" x14ac:dyDescent="0.15"/>
    <row r="3" spans="1:6" s="75" customFormat="1" x14ac:dyDescent="0.15"/>
    <row r="4" spans="1:6" s="75" customFormat="1" ht="25.5" x14ac:dyDescent="0.25">
      <c r="A4" s="353" t="s">
        <v>152</v>
      </c>
      <c r="B4" s="246"/>
      <c r="C4" s="246"/>
      <c r="D4" s="246"/>
      <c r="E4" s="246"/>
      <c r="F4" s="246"/>
    </row>
    <row r="5" spans="1:6" s="75" customFormat="1" ht="15.95" customHeight="1" x14ac:dyDescent="0.15">
      <c r="E5" s="400"/>
      <c r="F5" s="400"/>
    </row>
    <row r="6" spans="1:6" s="75" customFormat="1" ht="15.95" customHeight="1" thickBot="1" x14ac:dyDescent="0.2">
      <c r="D6" s="401"/>
      <c r="E6" s="401"/>
      <c r="F6" s="76"/>
    </row>
    <row r="7" spans="1:6" s="80" customFormat="1" ht="27.95" customHeight="1" x14ac:dyDescent="0.15">
      <c r="A7" s="77" t="s">
        <v>153</v>
      </c>
      <c r="B7" s="78"/>
      <c r="C7" s="78"/>
      <c r="D7" s="78"/>
      <c r="E7" s="78"/>
      <c r="F7" s="79"/>
    </row>
    <row r="8" spans="1:6" s="80" customFormat="1" ht="27.95" customHeight="1" x14ac:dyDescent="0.15">
      <c r="A8" s="81" t="s">
        <v>154</v>
      </c>
      <c r="B8" s="44" t="s">
        <v>155</v>
      </c>
      <c r="C8" s="44" t="s">
        <v>156</v>
      </c>
      <c r="D8" s="44" t="s">
        <v>157</v>
      </c>
      <c r="E8" s="44" t="s">
        <v>158</v>
      </c>
      <c r="F8" s="82" t="s">
        <v>159</v>
      </c>
    </row>
    <row r="9" spans="1:6" s="80" customFormat="1" ht="24" customHeight="1" x14ac:dyDescent="0.15">
      <c r="A9" s="402" t="s">
        <v>160</v>
      </c>
      <c r="B9" s="404" t="s">
        <v>161</v>
      </c>
      <c r="C9" s="404" t="s">
        <v>162</v>
      </c>
      <c r="D9" s="407">
        <v>42430</v>
      </c>
      <c r="E9" s="404" t="s">
        <v>163</v>
      </c>
      <c r="F9" s="409" t="s">
        <v>164</v>
      </c>
    </row>
    <row r="10" spans="1:6" s="80" customFormat="1" ht="24" customHeight="1" thickBot="1" x14ac:dyDescent="0.2">
      <c r="A10" s="403"/>
      <c r="B10" s="405"/>
      <c r="C10" s="406"/>
      <c r="D10" s="408"/>
      <c r="E10" s="405"/>
      <c r="F10" s="410"/>
    </row>
    <row r="11" spans="1:6" s="80" customFormat="1" ht="18" customHeight="1" thickBot="1" x14ac:dyDescent="0.2">
      <c r="A11" s="83"/>
      <c r="B11" s="83"/>
      <c r="C11" s="83"/>
      <c r="D11" s="83"/>
      <c r="E11" s="83"/>
      <c r="F11" s="83"/>
    </row>
    <row r="12" spans="1:6" s="80" customFormat="1" ht="27.95" customHeight="1" thickBot="1" x14ac:dyDescent="0.2">
      <c r="A12" s="84" t="s">
        <v>165</v>
      </c>
      <c r="B12" s="85" t="s">
        <v>0</v>
      </c>
      <c r="C12" s="83" ph="1"/>
      <c r="D12" s="83"/>
      <c r="E12" s="83"/>
      <c r="F12" s="86"/>
    </row>
    <row r="13" spans="1:6" s="80" customFormat="1" ht="18" customHeight="1" thickBot="1" x14ac:dyDescent="0.2">
      <c r="A13" s="83"/>
      <c r="B13" s="83"/>
      <c r="C13" s="83"/>
      <c r="D13" s="83"/>
      <c r="E13" s="83"/>
      <c r="F13" s="83"/>
    </row>
    <row r="14" spans="1:6" s="80" customFormat="1" ht="27.95" customHeight="1" x14ac:dyDescent="0.15">
      <c r="A14" s="87" t="s">
        <v>166</v>
      </c>
      <c r="B14" s="88"/>
      <c r="C14" s="88" t="s">
        <v>167</v>
      </c>
      <c r="D14" s="89" t="s">
        <v>168</v>
      </c>
      <c r="E14" s="90"/>
      <c r="F14" s="91" t="s">
        <v>169</v>
      </c>
    </row>
    <row r="15" spans="1:6" s="80" customFormat="1" ht="27.95" customHeight="1" x14ac:dyDescent="0.15">
      <c r="A15" s="46" t="s">
        <v>170</v>
      </c>
      <c r="B15" s="44">
        <v>0.2</v>
      </c>
      <c r="C15" s="174" t="s">
        <v>348</v>
      </c>
      <c r="D15" s="92" t="s">
        <v>171</v>
      </c>
      <c r="E15" s="44">
        <v>2</v>
      </c>
      <c r="F15" s="82"/>
    </row>
    <row r="16" spans="1:6" s="80" customFormat="1" ht="27.95" customHeight="1" thickBot="1" x14ac:dyDescent="0.2">
      <c r="A16" s="93" t="s">
        <v>172</v>
      </c>
      <c r="B16" s="175">
        <v>0.19600000000000001</v>
      </c>
      <c r="C16" s="94" t="s">
        <v>173</v>
      </c>
      <c r="D16" s="95" t="s">
        <v>174</v>
      </c>
      <c r="E16" s="176">
        <v>80</v>
      </c>
      <c r="F16" s="96" t="s">
        <v>173</v>
      </c>
    </row>
    <row r="17" spans="1:6" s="80" customFormat="1" ht="18" customHeight="1" thickBot="1" x14ac:dyDescent="0.2">
      <c r="A17" s="83"/>
      <c r="B17" s="83"/>
      <c r="C17" s="83"/>
      <c r="D17" s="83"/>
      <c r="E17" s="83"/>
      <c r="F17" s="83"/>
    </row>
    <row r="18" spans="1:6" s="80" customFormat="1" ht="27.95" customHeight="1" x14ac:dyDescent="0.15">
      <c r="A18" s="77" t="s">
        <v>175</v>
      </c>
      <c r="B18" s="78"/>
      <c r="C18" s="78" t="s">
        <v>176</v>
      </c>
      <c r="D18" s="78"/>
      <c r="E18" s="78"/>
      <c r="F18" s="79"/>
    </row>
    <row r="19" spans="1:6" s="80" customFormat="1" ht="27.95" customHeight="1" x14ac:dyDescent="0.15">
      <c r="A19" s="46" t="s">
        <v>177</v>
      </c>
      <c r="B19" s="44">
        <v>130</v>
      </c>
      <c r="C19" s="44">
        <v>400</v>
      </c>
      <c r="D19" s="92"/>
      <c r="E19" s="92"/>
      <c r="F19" s="97"/>
    </row>
    <row r="20" spans="1:6" s="80" customFormat="1" ht="27.95" customHeight="1" x14ac:dyDescent="0.15">
      <c r="A20" s="46" t="s">
        <v>178</v>
      </c>
      <c r="B20" s="177">
        <v>243</v>
      </c>
      <c r="C20" s="178">
        <v>144</v>
      </c>
      <c r="D20" s="92"/>
      <c r="E20" s="92"/>
      <c r="F20" s="97"/>
    </row>
    <row r="21" spans="1:6" s="80" customFormat="1" ht="27.95" customHeight="1" thickBot="1" x14ac:dyDescent="0.2">
      <c r="A21" s="98" t="s">
        <v>179</v>
      </c>
      <c r="B21" s="179">
        <v>301</v>
      </c>
      <c r="C21" s="99" t="s">
        <v>180</v>
      </c>
      <c r="D21" s="100"/>
      <c r="E21" s="100"/>
      <c r="F21" s="101"/>
    </row>
    <row r="22" spans="1:6" s="80" customFormat="1" ht="27.95" customHeight="1" thickBot="1" x14ac:dyDescent="0.2">
      <c r="B22" s="162"/>
      <c r="C22" s="162"/>
    </row>
    <row r="23" spans="1:6" s="80" customFormat="1" ht="27.95" customHeight="1" thickBot="1" x14ac:dyDescent="0.2">
      <c r="A23" s="163" t="s">
        <v>334</v>
      </c>
      <c r="B23" s="411" t="s">
        <v>336</v>
      </c>
      <c r="C23" s="412"/>
      <c r="D23" s="412"/>
      <c r="E23" s="413"/>
      <c r="F23" s="180" t="s">
        <v>335</v>
      </c>
    </row>
    <row r="24" spans="1:6" ht="18" customHeight="1" thickBot="1" x14ac:dyDescent="0.2">
      <c r="A24" s="80" t="s">
        <v>355</v>
      </c>
    </row>
    <row r="25" spans="1:6" s="75" customFormat="1" ht="24.95" customHeight="1" x14ac:dyDescent="0.15">
      <c r="A25" s="392" t="s">
        <v>181</v>
      </c>
      <c r="B25" s="102"/>
      <c r="C25" s="181">
        <v>117</v>
      </c>
      <c r="D25" s="103" t="s">
        <v>182</v>
      </c>
      <c r="E25" s="78" t="s">
        <v>176</v>
      </c>
      <c r="F25" s="79"/>
    </row>
    <row r="26" spans="1:6" s="75" customFormat="1" ht="24.95" customHeight="1" x14ac:dyDescent="0.15">
      <c r="A26" s="393"/>
      <c r="B26" s="80"/>
      <c r="C26" s="104"/>
      <c r="D26" s="105"/>
      <c r="E26" s="80" t="s">
        <v>183</v>
      </c>
      <c r="F26" s="106"/>
    </row>
    <row r="27" spans="1:6" s="75" customFormat="1" ht="24.95" customHeight="1" x14ac:dyDescent="0.15">
      <c r="A27" s="393"/>
      <c r="B27" s="107" t="s">
        <v>184</v>
      </c>
      <c r="C27" s="80"/>
      <c r="D27" s="108"/>
      <c r="E27" s="80"/>
      <c r="F27" s="183"/>
    </row>
    <row r="28" spans="1:6" s="75" customFormat="1" ht="24.95" customHeight="1" thickBot="1" x14ac:dyDescent="0.2">
      <c r="A28" s="394"/>
      <c r="B28" s="109"/>
      <c r="C28" s="110"/>
      <c r="D28" s="182">
        <v>51</v>
      </c>
      <c r="E28" s="109" t="s">
        <v>350</v>
      </c>
      <c r="F28" s="184"/>
    </row>
    <row r="29" spans="1:6" s="75" customFormat="1" ht="18" customHeight="1" thickBot="1" x14ac:dyDescent="0.2">
      <c r="A29" s="111"/>
      <c r="B29" s="80"/>
      <c r="C29" s="112"/>
      <c r="D29" s="80"/>
      <c r="E29" s="80"/>
      <c r="F29" s="80"/>
    </row>
    <row r="30" spans="1:6" s="80" customFormat="1" ht="21.95" customHeight="1" x14ac:dyDescent="0.15">
      <c r="A30" s="395" t="s">
        <v>185</v>
      </c>
      <c r="B30" s="398" t="s">
        <v>0</v>
      </c>
      <c r="C30" s="78"/>
      <c r="D30" s="113"/>
      <c r="E30" s="114"/>
      <c r="F30" s="115"/>
    </row>
    <row r="31" spans="1:6" s="80" customFormat="1" ht="21.95" customHeight="1" x14ac:dyDescent="0.15">
      <c r="A31" s="396"/>
      <c r="B31" s="399"/>
      <c r="D31" s="116"/>
      <c r="E31" s="117"/>
      <c r="F31" s="118"/>
    </row>
    <row r="32" spans="1:6" s="80" customFormat="1" ht="21.95" customHeight="1" x14ac:dyDescent="0.15">
      <c r="A32" s="396"/>
      <c r="B32" s="119" t="s">
        <v>186</v>
      </c>
      <c r="E32" s="120"/>
      <c r="F32" s="121"/>
    </row>
    <row r="33" spans="1:6" s="80" customFormat="1" ht="21.95" customHeight="1" thickBot="1" x14ac:dyDescent="0.2">
      <c r="A33" s="397"/>
      <c r="B33" s="122" t="s">
        <v>187</v>
      </c>
      <c r="C33" s="109"/>
      <c r="D33" s="109"/>
      <c r="E33" s="76"/>
      <c r="F33" s="123"/>
    </row>
    <row r="34" spans="1:6" s="80" customFormat="1" ht="18" customHeight="1" x14ac:dyDescent="0.15"/>
    <row r="35" spans="1:6" s="75" customFormat="1" ht="24" customHeight="1" x14ac:dyDescent="0.15"/>
    <row r="36" spans="1:6" s="75" customFormat="1" x14ac:dyDescent="0.15"/>
    <row r="37" spans="1:6" s="75" customFormat="1" x14ac:dyDescent="0.15"/>
  </sheetData>
  <mergeCells count="13">
    <mergeCell ref="A25:A28"/>
    <mergeCell ref="A30:A33"/>
    <mergeCell ref="B30:B31"/>
    <mergeCell ref="A4:F4"/>
    <mergeCell ref="E5:F5"/>
    <mergeCell ref="D6:E6"/>
    <mergeCell ref="A9:A10"/>
    <mergeCell ref="B9:B10"/>
    <mergeCell ref="C9:C10"/>
    <mergeCell ref="D9:D10"/>
    <mergeCell ref="E9:E10"/>
    <mergeCell ref="F9:F10"/>
    <mergeCell ref="B23:E23"/>
  </mergeCells>
  <phoneticPr fontId="2"/>
  <pageMargins left="0.78740157480314965" right="0" top="0.74803149606299213" bottom="0.74803149606299213" header="0.31496062992125984" footer="0.31496062992125984"/>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AH50"/>
  <sheetViews>
    <sheetView showGridLines="0" tabSelected="1" view="pageBreakPreview" zoomScale="130" zoomScaleNormal="100" zoomScaleSheetLayoutView="130" workbookViewId="0">
      <selection activeCell="B33" sqref="B33:G33"/>
    </sheetView>
  </sheetViews>
  <sheetFormatPr defaultRowHeight="13.5" x14ac:dyDescent="0.15"/>
  <cols>
    <col min="1" max="1" width="1.375" customWidth="1"/>
    <col min="2" max="35" width="2.75" customWidth="1"/>
  </cols>
  <sheetData>
    <row r="2" spans="1:34" ht="15" customHeight="1" x14ac:dyDescent="0.25">
      <c r="A2" s="124"/>
      <c r="B2" s="124"/>
      <c r="C2" s="124"/>
      <c r="D2" s="124"/>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row>
    <row r="3" spans="1:34" ht="30" customHeight="1" x14ac:dyDescent="0.25">
      <c r="A3" s="546" t="s">
        <v>344</v>
      </c>
      <c r="B3" s="546"/>
      <c r="C3" s="546"/>
      <c r="D3" s="546"/>
      <c r="E3" s="546"/>
      <c r="F3" s="546"/>
      <c r="G3" s="546"/>
      <c r="H3" s="546"/>
      <c r="I3" s="546"/>
      <c r="J3" s="546"/>
      <c r="K3" s="546"/>
      <c r="L3" s="546"/>
      <c r="M3" s="546"/>
      <c r="N3" s="546"/>
      <c r="O3" s="546"/>
      <c r="P3" s="546"/>
      <c r="Q3" s="546"/>
      <c r="R3" s="546"/>
      <c r="S3" s="546"/>
      <c r="T3" s="546"/>
      <c r="U3" s="546"/>
      <c r="V3" s="546"/>
      <c r="W3" s="546"/>
      <c r="X3" s="546"/>
      <c r="Y3" s="546"/>
      <c r="Z3" s="546"/>
      <c r="AA3" s="546"/>
      <c r="AB3" s="546"/>
      <c r="AC3" s="546"/>
      <c r="AD3" s="546"/>
      <c r="AE3" s="546"/>
      <c r="AF3" s="546"/>
      <c r="AG3" s="546"/>
      <c r="AH3" s="546"/>
    </row>
    <row r="4" spans="1:34" ht="15" customHeight="1" x14ac:dyDescent="0.15">
      <c r="A4" s="75"/>
      <c r="B4" s="75"/>
      <c r="C4" s="75"/>
      <c r="D4" s="125"/>
      <c r="E4" s="75"/>
      <c r="F4" s="75"/>
      <c r="G4" s="75"/>
      <c r="H4" s="75"/>
      <c r="I4" s="126"/>
      <c r="J4" s="75"/>
      <c r="K4" s="75"/>
      <c r="L4" s="75"/>
      <c r="M4" s="75"/>
      <c r="N4" s="75"/>
      <c r="O4" s="75"/>
      <c r="P4" s="75"/>
      <c r="Q4" s="75"/>
      <c r="R4" s="75"/>
      <c r="S4" s="75"/>
      <c r="T4" s="75"/>
      <c r="U4" s="127"/>
      <c r="V4" s="125"/>
      <c r="W4" s="400"/>
      <c r="X4" s="400"/>
      <c r="Y4" s="400"/>
      <c r="Z4" s="400"/>
      <c r="AA4" s="400"/>
      <c r="AB4" s="400"/>
      <c r="AC4" s="400"/>
      <c r="AD4" s="400"/>
      <c r="AE4" s="400"/>
      <c r="AF4" s="400"/>
      <c r="AG4" s="400"/>
      <c r="AH4" s="400"/>
    </row>
    <row r="5" spans="1:34" ht="15" customHeight="1" x14ac:dyDescent="0.15">
      <c r="A5" s="75"/>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547"/>
      <c r="AE5" s="547"/>
      <c r="AF5" s="547"/>
      <c r="AG5" s="547"/>
      <c r="AH5" s="547"/>
    </row>
    <row r="6" spans="1:34" ht="15" customHeight="1" x14ac:dyDescent="0.15">
      <c r="A6" s="421" t="s">
        <v>188</v>
      </c>
      <c r="B6" s="422"/>
      <c r="C6" s="422"/>
      <c r="D6" s="422"/>
      <c r="E6" s="422"/>
      <c r="F6" s="422"/>
      <c r="G6" s="422"/>
      <c r="H6" s="422"/>
      <c r="I6" s="422"/>
      <c r="J6" s="317"/>
      <c r="K6" s="421" t="s">
        <v>189</v>
      </c>
      <c r="L6" s="422"/>
      <c r="M6" s="422"/>
      <c r="N6" s="422"/>
      <c r="O6" s="422"/>
      <c r="P6" s="422"/>
      <c r="Q6" s="422"/>
      <c r="R6" s="422"/>
      <c r="S6" s="422"/>
      <c r="T6" s="422"/>
      <c r="U6" s="422"/>
      <c r="V6" s="317"/>
      <c r="W6" s="422"/>
      <c r="X6" s="422"/>
      <c r="Y6" s="422"/>
      <c r="Z6" s="422"/>
      <c r="AA6" s="422"/>
      <c r="AB6" s="422"/>
      <c r="AC6" s="422"/>
      <c r="AD6" s="422"/>
      <c r="AE6" s="422"/>
      <c r="AF6" s="422"/>
      <c r="AG6" s="422"/>
      <c r="AH6" s="317"/>
    </row>
    <row r="7" spans="1:34" ht="15" customHeight="1" x14ac:dyDescent="0.15">
      <c r="A7" s="548"/>
      <c r="B7" s="549"/>
      <c r="C7" s="549"/>
      <c r="D7" s="549"/>
      <c r="E7" s="549"/>
      <c r="F7" s="549"/>
      <c r="G7" s="549"/>
      <c r="H7" s="549"/>
      <c r="I7" s="549"/>
      <c r="J7" s="319"/>
      <c r="K7" s="548"/>
      <c r="L7" s="549"/>
      <c r="M7" s="549"/>
      <c r="N7" s="549"/>
      <c r="O7" s="549"/>
      <c r="P7" s="549"/>
      <c r="Q7" s="549"/>
      <c r="R7" s="549"/>
      <c r="S7" s="549"/>
      <c r="T7" s="549"/>
      <c r="U7" s="549"/>
      <c r="V7" s="319"/>
      <c r="W7" s="549"/>
      <c r="X7" s="549"/>
      <c r="Y7" s="549"/>
      <c r="Z7" s="549"/>
      <c r="AA7" s="549"/>
      <c r="AB7" s="549"/>
      <c r="AC7" s="549"/>
      <c r="AD7" s="549"/>
      <c r="AE7" s="549"/>
      <c r="AF7" s="549"/>
      <c r="AG7" s="549"/>
      <c r="AH7" s="319"/>
    </row>
    <row r="8" spans="1:34" ht="15" customHeight="1" x14ac:dyDescent="0.15">
      <c r="A8" s="359"/>
      <c r="B8" s="360"/>
      <c r="C8" s="360"/>
      <c r="D8" s="360"/>
      <c r="E8" s="360"/>
      <c r="F8" s="360"/>
      <c r="G8" s="360"/>
      <c r="H8" s="360"/>
      <c r="I8" s="360"/>
      <c r="J8" s="321"/>
      <c r="K8" s="359"/>
      <c r="L8" s="360"/>
      <c r="M8" s="360"/>
      <c r="N8" s="360"/>
      <c r="O8" s="360"/>
      <c r="P8" s="360"/>
      <c r="Q8" s="360"/>
      <c r="R8" s="360"/>
      <c r="S8" s="360"/>
      <c r="T8" s="360"/>
      <c r="U8" s="360"/>
      <c r="V8" s="321"/>
      <c r="W8" s="360"/>
      <c r="X8" s="360"/>
      <c r="Y8" s="360"/>
      <c r="Z8" s="360"/>
      <c r="AA8" s="360"/>
      <c r="AB8" s="360"/>
      <c r="AC8" s="360"/>
      <c r="AD8" s="360"/>
      <c r="AE8" s="360"/>
      <c r="AF8" s="360"/>
      <c r="AG8" s="360"/>
      <c r="AH8" s="321"/>
    </row>
    <row r="9" spans="1:34" ht="15" customHeight="1" x14ac:dyDescent="0.15">
      <c r="A9" s="527"/>
      <c r="B9" s="528"/>
      <c r="C9" s="528"/>
      <c r="D9" s="528"/>
      <c r="E9" s="528"/>
      <c r="F9" s="528"/>
      <c r="G9" s="528"/>
      <c r="H9" s="528"/>
      <c r="I9" s="528"/>
      <c r="J9" s="544"/>
      <c r="K9" s="527"/>
      <c r="L9" s="528"/>
      <c r="M9" s="528"/>
      <c r="N9" s="528"/>
      <c r="O9" s="528"/>
      <c r="P9" s="528"/>
      <c r="Q9" s="528"/>
      <c r="R9" s="528"/>
      <c r="S9" s="528"/>
      <c r="T9" s="528"/>
      <c r="U9" s="528"/>
      <c r="V9" s="544"/>
      <c r="W9" s="527"/>
      <c r="X9" s="528"/>
      <c r="Y9" s="528"/>
      <c r="Z9" s="528"/>
      <c r="AA9" s="528"/>
      <c r="AB9" s="528"/>
      <c r="AC9" s="528"/>
      <c r="AD9" s="528"/>
      <c r="AE9" s="528"/>
      <c r="AF9" s="528"/>
      <c r="AG9" s="528"/>
      <c r="AH9" s="544"/>
    </row>
    <row r="10" spans="1:34" ht="15" customHeight="1" x14ac:dyDescent="0.15">
      <c r="A10" s="502" t="s">
        <v>190</v>
      </c>
      <c r="B10" s="503"/>
      <c r="C10" s="503"/>
      <c r="D10" s="503"/>
      <c r="E10" s="503"/>
      <c r="F10" s="503"/>
      <c r="G10" s="503"/>
      <c r="H10" s="503"/>
      <c r="I10" s="503"/>
      <c r="J10" s="537"/>
      <c r="K10" s="539" t="s">
        <v>191</v>
      </c>
      <c r="L10" s="545"/>
      <c r="M10" s="538"/>
      <c r="N10" s="538"/>
      <c r="O10" s="538"/>
      <c r="P10" s="538"/>
      <c r="Q10" s="538"/>
      <c r="R10" s="538"/>
      <c r="S10" s="538"/>
      <c r="T10" s="538"/>
      <c r="U10" s="538"/>
      <c r="V10" s="538"/>
      <c r="W10" s="539"/>
      <c r="X10" s="538"/>
      <c r="Y10" s="538"/>
      <c r="Z10" s="538"/>
      <c r="AA10" s="538"/>
      <c r="AB10" s="538"/>
      <c r="AC10" s="538"/>
      <c r="AD10" s="538"/>
      <c r="AE10" s="538"/>
      <c r="AF10" s="538"/>
      <c r="AG10" s="538"/>
      <c r="AH10" s="538"/>
    </row>
    <row r="11" spans="1:34" ht="15" customHeight="1" x14ac:dyDescent="0.15">
      <c r="A11" s="502" t="s">
        <v>192</v>
      </c>
      <c r="B11" s="503"/>
      <c r="C11" s="503"/>
      <c r="D11" s="503"/>
      <c r="E11" s="503"/>
      <c r="F11" s="503"/>
      <c r="G11" s="503"/>
      <c r="H11" s="503"/>
      <c r="I11" s="503"/>
      <c r="J11" s="537"/>
      <c r="K11" s="539" t="s">
        <v>193</v>
      </c>
      <c r="L11" s="539"/>
      <c r="M11" s="539"/>
      <c r="N11" s="539"/>
      <c r="O11" s="539"/>
      <c r="P11" s="539"/>
      <c r="Q11" s="539"/>
      <c r="R11" s="539"/>
      <c r="S11" s="539"/>
      <c r="T11" s="539"/>
      <c r="U11" s="539"/>
      <c r="V11" s="539"/>
      <c r="W11" s="539"/>
      <c r="X11" s="539"/>
      <c r="Y11" s="539"/>
      <c r="Z11" s="539"/>
      <c r="AA11" s="539"/>
      <c r="AB11" s="539"/>
      <c r="AC11" s="539"/>
      <c r="AD11" s="539"/>
      <c r="AE11" s="539"/>
      <c r="AF11" s="539"/>
      <c r="AG11" s="539"/>
      <c r="AH11" s="539"/>
    </row>
    <row r="12" spans="1:34" ht="15" customHeight="1" x14ac:dyDescent="0.15">
      <c r="A12" s="502" t="s">
        <v>194</v>
      </c>
      <c r="B12" s="503"/>
      <c r="C12" s="503"/>
      <c r="D12" s="503"/>
      <c r="E12" s="503"/>
      <c r="F12" s="503"/>
      <c r="G12" s="503"/>
      <c r="H12" s="503"/>
      <c r="I12" s="503"/>
      <c r="J12" s="537"/>
      <c r="K12" s="539" t="s">
        <v>195</v>
      </c>
      <c r="L12" s="539"/>
      <c r="M12" s="539"/>
      <c r="N12" s="539"/>
      <c r="O12" s="539"/>
      <c r="P12" s="539"/>
      <c r="Q12" s="539"/>
      <c r="R12" s="539"/>
      <c r="S12" s="539"/>
      <c r="T12" s="539"/>
      <c r="U12" s="539"/>
      <c r="V12" s="539"/>
      <c r="W12" s="539"/>
      <c r="X12" s="539"/>
      <c r="Y12" s="539"/>
      <c r="Z12" s="539"/>
      <c r="AA12" s="539"/>
      <c r="AB12" s="539"/>
      <c r="AC12" s="539"/>
      <c r="AD12" s="539"/>
      <c r="AE12" s="539"/>
      <c r="AF12" s="539"/>
      <c r="AG12" s="539"/>
      <c r="AH12" s="539"/>
    </row>
    <row r="13" spans="1:34" ht="15" customHeight="1" x14ac:dyDescent="0.15">
      <c r="A13" s="502" t="s">
        <v>196</v>
      </c>
      <c r="B13" s="503"/>
      <c r="C13" s="503"/>
      <c r="D13" s="503"/>
      <c r="E13" s="503"/>
      <c r="F13" s="503"/>
      <c r="G13" s="503"/>
      <c r="H13" s="503"/>
      <c r="I13" s="503"/>
      <c r="J13" s="537"/>
      <c r="K13" s="538" t="s">
        <v>197</v>
      </c>
      <c r="L13" s="539"/>
      <c r="M13" s="539"/>
      <c r="N13" s="539"/>
      <c r="O13" s="539"/>
      <c r="P13" s="539"/>
      <c r="Q13" s="539"/>
      <c r="R13" s="539"/>
      <c r="S13" s="539"/>
      <c r="T13" s="539"/>
      <c r="U13" s="539"/>
      <c r="V13" s="539"/>
      <c r="W13" s="539"/>
      <c r="X13" s="539"/>
      <c r="Y13" s="539"/>
      <c r="Z13" s="539"/>
      <c r="AA13" s="539"/>
      <c r="AB13" s="539"/>
      <c r="AC13" s="539"/>
      <c r="AD13" s="539"/>
      <c r="AE13" s="539"/>
      <c r="AF13" s="539"/>
      <c r="AG13" s="539"/>
      <c r="AH13" s="539"/>
    </row>
    <row r="14" spans="1:34" ht="15" customHeight="1" x14ac:dyDescent="0.15">
      <c r="A14" s="540" t="s">
        <v>198</v>
      </c>
      <c r="B14" s="541"/>
      <c r="C14" s="541"/>
      <c r="D14" s="541"/>
      <c r="E14" s="541"/>
      <c r="F14" s="541"/>
      <c r="G14" s="541"/>
      <c r="H14" s="541"/>
      <c r="I14" s="541"/>
      <c r="J14" s="542"/>
      <c r="K14" s="543" t="s">
        <v>199</v>
      </c>
      <c r="L14" s="543"/>
      <c r="M14" s="543"/>
      <c r="N14" s="543"/>
      <c r="O14" s="543"/>
      <c r="P14" s="543"/>
      <c r="Q14" s="543"/>
      <c r="R14" s="543"/>
      <c r="S14" s="543"/>
      <c r="T14" s="543"/>
      <c r="U14" s="543"/>
      <c r="V14" s="543"/>
      <c r="W14" s="543"/>
      <c r="X14" s="543"/>
      <c r="Y14" s="543"/>
      <c r="Z14" s="543"/>
      <c r="AA14" s="543"/>
      <c r="AB14" s="543"/>
      <c r="AC14" s="543"/>
      <c r="AD14" s="543"/>
      <c r="AE14" s="543"/>
      <c r="AF14" s="543"/>
      <c r="AG14" s="543"/>
      <c r="AH14" s="543"/>
    </row>
    <row r="15" spans="1:34" ht="15" customHeight="1" x14ac:dyDescent="0.15">
      <c r="A15" s="435"/>
      <c r="B15" s="436"/>
      <c r="C15" s="436"/>
      <c r="D15" s="436"/>
      <c r="E15" s="436"/>
      <c r="F15" s="436"/>
      <c r="G15" s="436"/>
      <c r="H15" s="436"/>
      <c r="I15" s="436"/>
      <c r="J15" s="437"/>
      <c r="K15" s="518"/>
      <c r="L15" s="519"/>
      <c r="M15" s="519"/>
      <c r="N15" s="520"/>
      <c r="O15" s="518"/>
      <c r="P15" s="519"/>
      <c r="Q15" s="519"/>
      <c r="R15" s="520"/>
      <c r="S15" s="518"/>
      <c r="T15" s="519"/>
      <c r="U15" s="519"/>
      <c r="V15" s="520"/>
      <c r="W15" s="518"/>
      <c r="X15" s="519"/>
      <c r="Y15" s="519"/>
      <c r="Z15" s="520"/>
      <c r="AA15" s="518"/>
      <c r="AB15" s="519"/>
      <c r="AC15" s="519"/>
      <c r="AD15" s="520"/>
      <c r="AE15" s="518"/>
      <c r="AF15" s="519"/>
      <c r="AG15" s="519"/>
      <c r="AH15" s="520"/>
    </row>
    <row r="16" spans="1:34" ht="15" customHeight="1" x14ac:dyDescent="0.15">
      <c r="A16" s="438"/>
      <c r="B16" s="439"/>
      <c r="C16" s="439"/>
      <c r="D16" s="439"/>
      <c r="E16" s="439"/>
      <c r="F16" s="439"/>
      <c r="G16" s="439"/>
      <c r="H16" s="439"/>
      <c r="I16" s="439"/>
      <c r="J16" s="440"/>
      <c r="K16" s="521"/>
      <c r="L16" s="522"/>
      <c r="M16" s="522"/>
      <c r="N16" s="523"/>
      <c r="O16" s="521"/>
      <c r="P16" s="522"/>
      <c r="Q16" s="522"/>
      <c r="R16" s="523"/>
      <c r="S16" s="521"/>
      <c r="T16" s="522"/>
      <c r="U16" s="522"/>
      <c r="V16" s="523"/>
      <c r="W16" s="521"/>
      <c r="X16" s="522"/>
      <c r="Y16" s="522"/>
      <c r="Z16" s="523"/>
      <c r="AA16" s="521"/>
      <c r="AB16" s="522"/>
      <c r="AC16" s="522"/>
      <c r="AD16" s="523"/>
      <c r="AE16" s="521"/>
      <c r="AF16" s="522"/>
      <c r="AG16" s="522"/>
      <c r="AH16" s="523"/>
    </row>
    <row r="17" spans="1:34" ht="15" customHeight="1" x14ac:dyDescent="0.15">
      <c r="A17" s="472" t="s">
        <v>200</v>
      </c>
      <c r="B17" s="473"/>
      <c r="C17" s="474"/>
      <c r="D17" s="527" t="s">
        <v>201</v>
      </c>
      <c r="E17" s="528"/>
      <c r="F17" s="528"/>
      <c r="G17" s="528"/>
      <c r="H17" s="528"/>
      <c r="I17" s="529" t="s">
        <v>202</v>
      </c>
      <c r="J17" s="530"/>
      <c r="K17" s="531" t="s">
        <v>347</v>
      </c>
      <c r="L17" s="532"/>
      <c r="M17" s="532"/>
      <c r="N17" s="533"/>
      <c r="O17" s="534"/>
      <c r="P17" s="535"/>
      <c r="Q17" s="535"/>
      <c r="R17" s="536"/>
      <c r="S17" s="534"/>
      <c r="T17" s="535"/>
      <c r="U17" s="535"/>
      <c r="V17" s="536"/>
      <c r="W17" s="534"/>
      <c r="X17" s="535"/>
      <c r="Y17" s="535"/>
      <c r="Z17" s="536"/>
      <c r="AA17" s="534"/>
      <c r="AB17" s="535"/>
      <c r="AC17" s="535"/>
      <c r="AD17" s="536"/>
      <c r="AE17" s="534"/>
      <c r="AF17" s="535"/>
      <c r="AG17" s="535"/>
      <c r="AH17" s="536"/>
    </row>
    <row r="18" spans="1:34" ht="15" customHeight="1" x14ac:dyDescent="0.15">
      <c r="A18" s="475"/>
      <c r="B18" s="476"/>
      <c r="C18" s="477"/>
      <c r="D18" s="502" t="s">
        <v>203</v>
      </c>
      <c r="E18" s="503"/>
      <c r="F18" s="503"/>
      <c r="G18" s="503"/>
      <c r="H18" s="503"/>
      <c r="I18" s="504" t="s">
        <v>204</v>
      </c>
      <c r="J18" s="505"/>
      <c r="K18" s="512">
        <v>1</v>
      </c>
      <c r="L18" s="513"/>
      <c r="M18" s="513"/>
      <c r="N18" s="514"/>
      <c r="O18" s="512"/>
      <c r="P18" s="513"/>
      <c r="Q18" s="513"/>
      <c r="R18" s="514"/>
      <c r="S18" s="512"/>
      <c r="T18" s="513"/>
      <c r="U18" s="513"/>
      <c r="V18" s="514"/>
      <c r="W18" s="515"/>
      <c r="X18" s="516"/>
      <c r="Y18" s="516"/>
      <c r="Z18" s="517"/>
      <c r="AA18" s="512"/>
      <c r="AB18" s="513"/>
      <c r="AC18" s="513"/>
      <c r="AD18" s="514"/>
      <c r="AE18" s="512"/>
      <c r="AF18" s="513"/>
      <c r="AG18" s="513"/>
      <c r="AH18" s="514"/>
    </row>
    <row r="19" spans="1:34" ht="15" customHeight="1" x14ac:dyDescent="0.15">
      <c r="A19" s="475"/>
      <c r="B19" s="476"/>
      <c r="C19" s="477"/>
      <c r="D19" s="502"/>
      <c r="E19" s="503"/>
      <c r="F19" s="503"/>
      <c r="G19" s="503"/>
      <c r="H19" s="503"/>
      <c r="I19" s="504"/>
      <c r="J19" s="505"/>
      <c r="K19" s="509"/>
      <c r="L19" s="510"/>
      <c r="M19" s="510"/>
      <c r="N19" s="511"/>
      <c r="O19" s="509"/>
      <c r="P19" s="510"/>
      <c r="Q19" s="510"/>
      <c r="R19" s="511"/>
      <c r="S19" s="509"/>
      <c r="T19" s="510"/>
      <c r="U19" s="510"/>
      <c r="V19" s="511"/>
      <c r="W19" s="509"/>
      <c r="X19" s="510"/>
      <c r="Y19" s="510"/>
      <c r="Z19" s="511"/>
      <c r="AA19" s="509"/>
      <c r="AB19" s="510"/>
      <c r="AC19" s="510"/>
      <c r="AD19" s="511"/>
      <c r="AE19" s="509"/>
      <c r="AF19" s="510"/>
      <c r="AG19" s="510"/>
      <c r="AH19" s="511"/>
    </row>
    <row r="20" spans="1:34" ht="15" customHeight="1" x14ac:dyDescent="0.15">
      <c r="A20" s="524"/>
      <c r="B20" s="525"/>
      <c r="C20" s="526"/>
      <c r="D20" s="502"/>
      <c r="E20" s="503"/>
      <c r="F20" s="503"/>
      <c r="G20" s="503"/>
      <c r="H20" s="503"/>
      <c r="I20" s="504"/>
      <c r="J20" s="505"/>
      <c r="K20" s="506"/>
      <c r="L20" s="507"/>
      <c r="M20" s="507"/>
      <c r="N20" s="508"/>
      <c r="O20" s="506"/>
      <c r="P20" s="507"/>
      <c r="Q20" s="507"/>
      <c r="R20" s="508"/>
      <c r="S20" s="506"/>
      <c r="T20" s="507"/>
      <c r="U20" s="507"/>
      <c r="V20" s="508"/>
      <c r="W20" s="506"/>
      <c r="X20" s="507"/>
      <c r="Y20" s="507"/>
      <c r="Z20" s="508"/>
      <c r="AA20" s="506"/>
      <c r="AB20" s="507"/>
      <c r="AC20" s="507"/>
      <c r="AD20" s="508"/>
      <c r="AE20" s="506"/>
      <c r="AF20" s="507"/>
      <c r="AG20" s="507"/>
      <c r="AH20" s="508"/>
    </row>
    <row r="21" spans="1:34" ht="15" customHeight="1" x14ac:dyDescent="0.15">
      <c r="A21" s="435"/>
      <c r="B21" s="436"/>
      <c r="C21" s="436"/>
      <c r="D21" s="436"/>
      <c r="E21" s="436"/>
      <c r="F21" s="436"/>
      <c r="G21" s="436"/>
      <c r="H21" s="436"/>
      <c r="I21" s="436"/>
      <c r="J21" s="437"/>
      <c r="K21" s="442"/>
      <c r="L21" s="443"/>
      <c r="M21" s="443"/>
      <c r="N21" s="444"/>
      <c r="O21" s="429"/>
      <c r="P21" s="430"/>
      <c r="Q21" s="430"/>
      <c r="R21" s="431"/>
      <c r="S21" s="429"/>
      <c r="T21" s="430"/>
      <c r="U21" s="430"/>
      <c r="V21" s="431"/>
      <c r="W21" s="442"/>
      <c r="X21" s="443"/>
      <c r="Y21" s="443"/>
      <c r="Z21" s="444"/>
      <c r="AA21" s="429"/>
      <c r="AB21" s="430"/>
      <c r="AC21" s="430"/>
      <c r="AD21" s="431"/>
      <c r="AE21" s="429"/>
      <c r="AF21" s="430"/>
      <c r="AG21" s="430"/>
      <c r="AH21" s="431"/>
    </row>
    <row r="22" spans="1:34" ht="15" customHeight="1" x14ac:dyDescent="0.15">
      <c r="A22" s="438"/>
      <c r="B22" s="439"/>
      <c r="C22" s="439"/>
      <c r="D22" s="439"/>
      <c r="E22" s="439"/>
      <c r="F22" s="439"/>
      <c r="G22" s="439"/>
      <c r="H22" s="439"/>
      <c r="I22" s="439"/>
      <c r="J22" s="440"/>
      <c r="K22" s="445"/>
      <c r="L22" s="446"/>
      <c r="M22" s="446"/>
      <c r="N22" s="447"/>
      <c r="O22" s="432"/>
      <c r="P22" s="433"/>
      <c r="Q22" s="433"/>
      <c r="R22" s="434"/>
      <c r="S22" s="432"/>
      <c r="T22" s="433"/>
      <c r="U22" s="433"/>
      <c r="V22" s="434"/>
      <c r="W22" s="445"/>
      <c r="X22" s="446"/>
      <c r="Y22" s="446"/>
      <c r="Z22" s="447"/>
      <c r="AA22" s="432"/>
      <c r="AB22" s="433"/>
      <c r="AC22" s="433"/>
      <c r="AD22" s="434"/>
      <c r="AE22" s="432"/>
      <c r="AF22" s="433"/>
      <c r="AG22" s="433"/>
      <c r="AH22" s="434"/>
    </row>
    <row r="23" spans="1:34" ht="15" customHeight="1" x14ac:dyDescent="0.15">
      <c r="A23" s="421" t="s">
        <v>205</v>
      </c>
      <c r="B23" s="422"/>
      <c r="C23" s="422"/>
      <c r="D23" s="422"/>
      <c r="E23" s="422"/>
      <c r="F23" s="422"/>
      <c r="G23" s="422"/>
      <c r="H23" s="422"/>
      <c r="I23" s="422" t="s">
        <v>202</v>
      </c>
      <c r="J23" s="317"/>
      <c r="K23" s="496">
        <v>159</v>
      </c>
      <c r="L23" s="497"/>
      <c r="M23" s="497"/>
      <c r="N23" s="498"/>
      <c r="O23" s="429"/>
      <c r="P23" s="430"/>
      <c r="Q23" s="430"/>
      <c r="R23" s="431"/>
      <c r="S23" s="490"/>
      <c r="T23" s="491"/>
      <c r="U23" s="491"/>
      <c r="V23" s="492"/>
      <c r="W23" s="429"/>
      <c r="X23" s="430"/>
      <c r="Y23" s="430"/>
      <c r="Z23" s="431"/>
      <c r="AA23" s="490"/>
      <c r="AB23" s="491"/>
      <c r="AC23" s="491"/>
      <c r="AD23" s="492"/>
      <c r="AE23" s="490"/>
      <c r="AF23" s="491"/>
      <c r="AG23" s="491"/>
      <c r="AH23" s="492"/>
    </row>
    <row r="24" spans="1:34" ht="15" customHeight="1" x14ac:dyDescent="0.15">
      <c r="A24" s="359"/>
      <c r="B24" s="360"/>
      <c r="C24" s="360"/>
      <c r="D24" s="360"/>
      <c r="E24" s="360"/>
      <c r="F24" s="360"/>
      <c r="G24" s="360"/>
      <c r="H24" s="360"/>
      <c r="I24" s="360"/>
      <c r="J24" s="321"/>
      <c r="K24" s="499"/>
      <c r="L24" s="500"/>
      <c r="M24" s="500"/>
      <c r="N24" s="501"/>
      <c r="O24" s="432"/>
      <c r="P24" s="433"/>
      <c r="Q24" s="433"/>
      <c r="R24" s="434"/>
      <c r="S24" s="493"/>
      <c r="T24" s="494"/>
      <c r="U24" s="494"/>
      <c r="V24" s="495"/>
      <c r="W24" s="432"/>
      <c r="X24" s="433"/>
      <c r="Y24" s="433"/>
      <c r="Z24" s="434"/>
      <c r="AA24" s="493"/>
      <c r="AB24" s="494"/>
      <c r="AC24" s="494"/>
      <c r="AD24" s="495"/>
      <c r="AE24" s="493"/>
      <c r="AF24" s="494"/>
      <c r="AG24" s="494"/>
      <c r="AH24" s="495"/>
    </row>
    <row r="25" spans="1:34" ht="15" customHeight="1" x14ac:dyDescent="0.15">
      <c r="A25" s="421" t="s">
        <v>206</v>
      </c>
      <c r="B25" s="422"/>
      <c r="C25" s="422"/>
      <c r="D25" s="422"/>
      <c r="E25" s="422"/>
      <c r="F25" s="422"/>
      <c r="G25" s="422"/>
      <c r="H25" s="422"/>
      <c r="I25" s="422" t="s">
        <v>202</v>
      </c>
      <c r="J25" s="317"/>
      <c r="K25" s="496">
        <v>153</v>
      </c>
      <c r="L25" s="497"/>
      <c r="M25" s="497"/>
      <c r="N25" s="498"/>
      <c r="O25" s="429"/>
      <c r="P25" s="430"/>
      <c r="Q25" s="430"/>
      <c r="R25" s="431"/>
      <c r="S25" s="490"/>
      <c r="T25" s="491"/>
      <c r="U25" s="491"/>
      <c r="V25" s="492"/>
      <c r="W25" s="429"/>
      <c r="X25" s="430"/>
      <c r="Y25" s="430"/>
      <c r="Z25" s="431"/>
      <c r="AA25" s="490"/>
      <c r="AB25" s="491"/>
      <c r="AC25" s="491"/>
      <c r="AD25" s="492"/>
      <c r="AE25" s="490"/>
      <c r="AF25" s="491"/>
      <c r="AG25" s="491"/>
      <c r="AH25" s="492"/>
    </row>
    <row r="26" spans="1:34" ht="15" customHeight="1" x14ac:dyDescent="0.15">
      <c r="A26" s="359"/>
      <c r="B26" s="360"/>
      <c r="C26" s="360"/>
      <c r="D26" s="360"/>
      <c r="E26" s="360"/>
      <c r="F26" s="360"/>
      <c r="G26" s="360"/>
      <c r="H26" s="360"/>
      <c r="I26" s="360"/>
      <c r="J26" s="321"/>
      <c r="K26" s="499"/>
      <c r="L26" s="500"/>
      <c r="M26" s="500"/>
      <c r="N26" s="501"/>
      <c r="O26" s="432"/>
      <c r="P26" s="433"/>
      <c r="Q26" s="433"/>
      <c r="R26" s="434"/>
      <c r="S26" s="493"/>
      <c r="T26" s="494"/>
      <c r="U26" s="494"/>
      <c r="V26" s="495"/>
      <c r="W26" s="432"/>
      <c r="X26" s="433"/>
      <c r="Y26" s="433"/>
      <c r="Z26" s="434"/>
      <c r="AA26" s="493"/>
      <c r="AB26" s="494"/>
      <c r="AC26" s="494"/>
      <c r="AD26" s="495"/>
      <c r="AE26" s="493"/>
      <c r="AF26" s="494"/>
      <c r="AG26" s="494"/>
      <c r="AH26" s="495"/>
    </row>
    <row r="27" spans="1:34" ht="15" customHeight="1" x14ac:dyDescent="0.15">
      <c r="A27" s="435"/>
      <c r="B27" s="436"/>
      <c r="C27" s="436"/>
      <c r="D27" s="436"/>
      <c r="E27" s="436"/>
      <c r="F27" s="436"/>
      <c r="G27" s="436"/>
      <c r="H27" s="436"/>
      <c r="I27" s="436"/>
      <c r="J27" s="437"/>
      <c r="K27" s="442"/>
      <c r="L27" s="443"/>
      <c r="M27" s="443"/>
      <c r="N27" s="444"/>
      <c r="O27" s="442"/>
      <c r="P27" s="443"/>
      <c r="Q27" s="443"/>
      <c r="R27" s="444"/>
      <c r="S27" s="429"/>
      <c r="T27" s="430"/>
      <c r="U27" s="430"/>
      <c r="V27" s="431"/>
      <c r="W27" s="442"/>
      <c r="X27" s="443"/>
      <c r="Y27" s="443"/>
      <c r="Z27" s="444"/>
      <c r="AA27" s="442"/>
      <c r="AB27" s="443"/>
      <c r="AC27" s="443"/>
      <c r="AD27" s="444"/>
      <c r="AE27" s="429"/>
      <c r="AF27" s="430"/>
      <c r="AG27" s="430"/>
      <c r="AH27" s="431"/>
    </row>
    <row r="28" spans="1:34" ht="15" customHeight="1" x14ac:dyDescent="0.15">
      <c r="A28" s="472" t="s">
        <v>203</v>
      </c>
      <c r="B28" s="473"/>
      <c r="C28" s="474"/>
      <c r="D28" s="478" t="s">
        <v>207</v>
      </c>
      <c r="E28" s="479"/>
      <c r="F28" s="479"/>
      <c r="G28" s="479"/>
      <c r="H28" s="479"/>
      <c r="I28" s="479"/>
      <c r="J28" s="480"/>
      <c r="K28" s="481">
        <v>0.99099999999999999</v>
      </c>
      <c r="L28" s="482"/>
      <c r="M28" s="482"/>
      <c r="N28" s="483"/>
      <c r="O28" s="487"/>
      <c r="P28" s="488"/>
      <c r="Q28" s="488"/>
      <c r="R28" s="489"/>
      <c r="S28" s="487"/>
      <c r="T28" s="488"/>
      <c r="U28" s="488"/>
      <c r="V28" s="489"/>
      <c r="W28" s="487"/>
      <c r="X28" s="488"/>
      <c r="Y28" s="488"/>
      <c r="Z28" s="489"/>
      <c r="AA28" s="487"/>
      <c r="AB28" s="488"/>
      <c r="AC28" s="488"/>
      <c r="AD28" s="489"/>
      <c r="AE28" s="487"/>
      <c r="AF28" s="488"/>
      <c r="AG28" s="488"/>
      <c r="AH28" s="489"/>
    </row>
    <row r="29" spans="1:34" ht="15" customHeight="1" x14ac:dyDescent="0.15">
      <c r="A29" s="475"/>
      <c r="B29" s="476"/>
      <c r="C29" s="477"/>
      <c r="D29" s="466" t="s">
        <v>208</v>
      </c>
      <c r="E29" s="467"/>
      <c r="F29" s="467"/>
      <c r="G29" s="467"/>
      <c r="H29" s="467"/>
      <c r="I29" s="467"/>
      <c r="J29" s="468"/>
      <c r="K29" s="484"/>
      <c r="L29" s="485"/>
      <c r="M29" s="485"/>
      <c r="N29" s="486"/>
      <c r="O29" s="451"/>
      <c r="P29" s="452"/>
      <c r="Q29" s="452"/>
      <c r="R29" s="453"/>
      <c r="S29" s="454"/>
      <c r="T29" s="455"/>
      <c r="U29" s="455"/>
      <c r="V29" s="456"/>
      <c r="W29" s="451"/>
      <c r="X29" s="452"/>
      <c r="Y29" s="452"/>
      <c r="Z29" s="453"/>
      <c r="AA29" s="454"/>
      <c r="AB29" s="455"/>
      <c r="AC29" s="455"/>
      <c r="AD29" s="456"/>
      <c r="AE29" s="454"/>
      <c r="AF29" s="455"/>
      <c r="AG29" s="455"/>
      <c r="AH29" s="456"/>
    </row>
    <row r="30" spans="1:34" ht="15" customHeight="1" x14ac:dyDescent="0.15">
      <c r="A30" s="475"/>
      <c r="B30" s="476"/>
      <c r="C30" s="477"/>
      <c r="D30" s="457"/>
      <c r="E30" s="458"/>
      <c r="F30" s="458"/>
      <c r="G30" s="458"/>
      <c r="H30" s="458"/>
      <c r="I30" s="458"/>
      <c r="J30" s="459"/>
      <c r="K30" s="469"/>
      <c r="L30" s="470"/>
      <c r="M30" s="470"/>
      <c r="N30" s="471"/>
      <c r="O30" s="469"/>
      <c r="P30" s="470"/>
      <c r="Q30" s="470"/>
      <c r="R30" s="471"/>
      <c r="S30" s="448"/>
      <c r="T30" s="449"/>
      <c r="U30" s="449"/>
      <c r="V30" s="450"/>
      <c r="W30" s="448"/>
      <c r="X30" s="449"/>
      <c r="Y30" s="449"/>
      <c r="Z30" s="450"/>
      <c r="AA30" s="448"/>
      <c r="AB30" s="449"/>
      <c r="AC30" s="449"/>
      <c r="AD30" s="450"/>
      <c r="AE30" s="448"/>
      <c r="AF30" s="449"/>
      <c r="AG30" s="449"/>
      <c r="AH30" s="450"/>
    </row>
    <row r="31" spans="1:34" ht="15" customHeight="1" x14ac:dyDescent="0.15">
      <c r="A31" s="475"/>
      <c r="B31" s="476"/>
      <c r="C31" s="477"/>
      <c r="D31" s="466"/>
      <c r="E31" s="467"/>
      <c r="F31" s="467"/>
      <c r="G31" s="467"/>
      <c r="H31" s="467"/>
      <c r="I31" s="467"/>
      <c r="J31" s="468"/>
      <c r="K31" s="451"/>
      <c r="L31" s="452"/>
      <c r="M31" s="452"/>
      <c r="N31" s="453"/>
      <c r="O31" s="451"/>
      <c r="P31" s="452"/>
      <c r="Q31" s="452"/>
      <c r="R31" s="453"/>
      <c r="S31" s="454"/>
      <c r="T31" s="455"/>
      <c r="U31" s="455"/>
      <c r="V31" s="456"/>
      <c r="W31" s="451"/>
      <c r="X31" s="452"/>
      <c r="Y31" s="452"/>
      <c r="Z31" s="453"/>
      <c r="AA31" s="454"/>
      <c r="AB31" s="455"/>
      <c r="AC31" s="455"/>
      <c r="AD31" s="456"/>
      <c r="AE31" s="454"/>
      <c r="AF31" s="455"/>
      <c r="AG31" s="455"/>
      <c r="AH31" s="456"/>
    </row>
    <row r="32" spans="1:34" ht="15" customHeight="1" x14ac:dyDescent="0.15">
      <c r="A32" s="475"/>
      <c r="B32" s="476"/>
      <c r="C32" s="477"/>
      <c r="D32" s="463"/>
      <c r="E32" s="464"/>
      <c r="F32" s="464"/>
      <c r="G32" s="464"/>
      <c r="H32" s="464"/>
      <c r="I32" s="464"/>
      <c r="J32" s="465"/>
      <c r="K32" s="448"/>
      <c r="L32" s="449"/>
      <c r="M32" s="449"/>
      <c r="N32" s="450"/>
      <c r="O32" s="448"/>
      <c r="P32" s="449"/>
      <c r="Q32" s="449"/>
      <c r="R32" s="450"/>
      <c r="S32" s="448"/>
      <c r="T32" s="449"/>
      <c r="U32" s="449"/>
      <c r="V32" s="450"/>
      <c r="W32" s="448"/>
      <c r="X32" s="449"/>
      <c r="Y32" s="449"/>
      <c r="Z32" s="450"/>
      <c r="AA32" s="448"/>
      <c r="AB32" s="449"/>
      <c r="AC32" s="449"/>
      <c r="AD32" s="450"/>
      <c r="AE32" s="448"/>
      <c r="AF32" s="449"/>
      <c r="AG32" s="449"/>
      <c r="AH32" s="450"/>
    </row>
    <row r="33" spans="1:34" ht="15" customHeight="1" x14ac:dyDescent="0.15">
      <c r="A33" s="475"/>
      <c r="B33" s="476"/>
      <c r="C33" s="477"/>
      <c r="D33" s="466"/>
      <c r="E33" s="467"/>
      <c r="F33" s="467"/>
      <c r="G33" s="467"/>
      <c r="H33" s="467"/>
      <c r="I33" s="467"/>
      <c r="J33" s="468"/>
      <c r="K33" s="451"/>
      <c r="L33" s="452"/>
      <c r="M33" s="452"/>
      <c r="N33" s="453"/>
      <c r="O33" s="454"/>
      <c r="P33" s="455"/>
      <c r="Q33" s="455"/>
      <c r="R33" s="456"/>
      <c r="S33" s="454"/>
      <c r="T33" s="455"/>
      <c r="U33" s="455"/>
      <c r="V33" s="456"/>
      <c r="W33" s="451"/>
      <c r="X33" s="452"/>
      <c r="Y33" s="452"/>
      <c r="Z33" s="453"/>
      <c r="AA33" s="454"/>
      <c r="AB33" s="455"/>
      <c r="AC33" s="455"/>
      <c r="AD33" s="456"/>
      <c r="AE33" s="454"/>
      <c r="AF33" s="455"/>
      <c r="AG33" s="455"/>
      <c r="AH33" s="456"/>
    </row>
    <row r="34" spans="1:34" ht="15" customHeight="1" x14ac:dyDescent="0.15">
      <c r="A34" s="457" t="s">
        <v>209</v>
      </c>
      <c r="B34" s="458"/>
      <c r="C34" s="459"/>
      <c r="D34" s="463"/>
      <c r="E34" s="464"/>
      <c r="F34" s="464"/>
      <c r="G34" s="464"/>
      <c r="H34" s="464"/>
      <c r="I34" s="464"/>
      <c r="J34" s="465"/>
      <c r="K34" s="448"/>
      <c r="L34" s="449"/>
      <c r="M34" s="449"/>
      <c r="N34" s="450"/>
      <c r="O34" s="448"/>
      <c r="P34" s="449"/>
      <c r="Q34" s="449"/>
      <c r="R34" s="450"/>
      <c r="S34" s="448" t="str">
        <f>IF(S17="","","("&amp;S17*7&amp;"A)")</f>
        <v/>
      </c>
      <c r="T34" s="449"/>
      <c r="U34" s="449"/>
      <c r="V34" s="450"/>
      <c r="W34" s="448"/>
      <c r="X34" s="449"/>
      <c r="Y34" s="449"/>
      <c r="Z34" s="450"/>
      <c r="AA34" s="448"/>
      <c r="AB34" s="449"/>
      <c r="AC34" s="449"/>
      <c r="AD34" s="450"/>
      <c r="AE34" s="448"/>
      <c r="AF34" s="449"/>
      <c r="AG34" s="449"/>
      <c r="AH34" s="450"/>
    </row>
    <row r="35" spans="1:34" ht="15" customHeight="1" x14ac:dyDescent="0.15">
      <c r="A35" s="460"/>
      <c r="B35" s="461"/>
      <c r="C35" s="462"/>
      <c r="D35" s="466"/>
      <c r="E35" s="467"/>
      <c r="F35" s="467"/>
      <c r="G35" s="467"/>
      <c r="H35" s="467"/>
      <c r="I35" s="467"/>
      <c r="J35" s="468"/>
      <c r="K35" s="451"/>
      <c r="L35" s="452"/>
      <c r="M35" s="452"/>
      <c r="N35" s="453"/>
      <c r="O35" s="454"/>
      <c r="P35" s="455"/>
      <c r="Q35" s="455"/>
      <c r="R35" s="456"/>
      <c r="S35" s="454"/>
      <c r="T35" s="455"/>
      <c r="U35" s="455"/>
      <c r="V35" s="456"/>
      <c r="W35" s="451"/>
      <c r="X35" s="452"/>
      <c r="Y35" s="452"/>
      <c r="Z35" s="453"/>
      <c r="AA35" s="454"/>
      <c r="AB35" s="455"/>
      <c r="AC35" s="455"/>
      <c r="AD35" s="456"/>
      <c r="AE35" s="454"/>
      <c r="AF35" s="455"/>
      <c r="AG35" s="455"/>
      <c r="AH35" s="456"/>
    </row>
    <row r="36" spans="1:34" ht="15" customHeight="1" x14ac:dyDescent="0.15">
      <c r="A36" s="435"/>
      <c r="B36" s="436"/>
      <c r="C36" s="436"/>
      <c r="D36" s="436"/>
      <c r="E36" s="436"/>
      <c r="F36" s="436"/>
      <c r="G36" s="436"/>
      <c r="H36" s="436"/>
      <c r="I36" s="436"/>
      <c r="J36" s="437"/>
      <c r="K36" s="442"/>
      <c r="L36" s="443"/>
      <c r="M36" s="443"/>
      <c r="N36" s="444"/>
      <c r="O36" s="442"/>
      <c r="P36" s="443"/>
      <c r="Q36" s="443"/>
      <c r="R36" s="444"/>
      <c r="S36" s="429"/>
      <c r="T36" s="430"/>
      <c r="U36" s="430"/>
      <c r="V36" s="431"/>
      <c r="W36" s="442"/>
      <c r="X36" s="443"/>
      <c r="Y36" s="443"/>
      <c r="Z36" s="444"/>
      <c r="AA36" s="442"/>
      <c r="AB36" s="443"/>
      <c r="AC36" s="443"/>
      <c r="AD36" s="444"/>
      <c r="AE36" s="429"/>
      <c r="AF36" s="430"/>
      <c r="AG36" s="430"/>
      <c r="AH36" s="431"/>
    </row>
    <row r="37" spans="1:34" ht="15" customHeight="1" x14ac:dyDescent="0.15">
      <c r="A37" s="438"/>
      <c r="B37" s="439"/>
      <c r="C37" s="439"/>
      <c r="D37" s="439"/>
      <c r="E37" s="439"/>
      <c r="F37" s="439"/>
      <c r="G37" s="439"/>
      <c r="H37" s="439"/>
      <c r="I37" s="439"/>
      <c r="J37" s="440"/>
      <c r="K37" s="445"/>
      <c r="L37" s="446"/>
      <c r="M37" s="446"/>
      <c r="N37" s="447"/>
      <c r="O37" s="445"/>
      <c r="P37" s="446"/>
      <c r="Q37" s="446"/>
      <c r="R37" s="447"/>
      <c r="S37" s="432"/>
      <c r="T37" s="433"/>
      <c r="U37" s="433"/>
      <c r="V37" s="434"/>
      <c r="W37" s="445"/>
      <c r="X37" s="446"/>
      <c r="Y37" s="446"/>
      <c r="Z37" s="447"/>
      <c r="AA37" s="445"/>
      <c r="AB37" s="446"/>
      <c r="AC37" s="446"/>
      <c r="AD37" s="447"/>
      <c r="AE37" s="432"/>
      <c r="AF37" s="433"/>
      <c r="AG37" s="433"/>
      <c r="AH37" s="434"/>
    </row>
    <row r="38" spans="1:34" ht="15" customHeight="1" x14ac:dyDescent="0.15">
      <c r="A38" s="435" t="s">
        <v>210</v>
      </c>
      <c r="B38" s="436"/>
      <c r="C38" s="436"/>
      <c r="D38" s="436"/>
      <c r="E38" s="436"/>
      <c r="F38" s="436"/>
      <c r="G38" s="436"/>
      <c r="H38" s="436"/>
      <c r="I38" s="436"/>
      <c r="J38" s="437"/>
      <c r="K38" s="429"/>
      <c r="L38" s="430"/>
      <c r="M38" s="430"/>
      <c r="N38" s="431"/>
      <c r="O38" s="429"/>
      <c r="P38" s="430"/>
      <c r="Q38" s="430"/>
      <c r="R38" s="431"/>
      <c r="S38" s="429"/>
      <c r="T38" s="430"/>
      <c r="U38" s="430"/>
      <c r="V38" s="431"/>
      <c r="W38" s="429"/>
      <c r="X38" s="430"/>
      <c r="Y38" s="430"/>
      <c r="Z38" s="431"/>
      <c r="AA38" s="429"/>
      <c r="AB38" s="430"/>
      <c r="AC38" s="430"/>
      <c r="AD38" s="431"/>
      <c r="AE38" s="429"/>
      <c r="AF38" s="430"/>
      <c r="AG38" s="430"/>
      <c r="AH38" s="431"/>
    </row>
    <row r="39" spans="1:34" ht="15" customHeight="1" x14ac:dyDescent="0.15">
      <c r="A39" s="438"/>
      <c r="B39" s="439"/>
      <c r="C39" s="439"/>
      <c r="D39" s="439"/>
      <c r="E39" s="439"/>
      <c r="F39" s="439"/>
      <c r="G39" s="439"/>
      <c r="H39" s="439"/>
      <c r="I39" s="439"/>
      <c r="J39" s="440"/>
      <c r="K39" s="441" t="s">
        <v>211</v>
      </c>
      <c r="L39" s="439"/>
      <c r="M39" s="439"/>
      <c r="N39" s="440"/>
      <c r="O39" s="441"/>
      <c r="P39" s="439"/>
      <c r="Q39" s="439"/>
      <c r="R39" s="440"/>
      <c r="S39" s="438"/>
      <c r="T39" s="439"/>
      <c r="U39" s="439"/>
      <c r="V39" s="440"/>
      <c r="W39" s="438"/>
      <c r="X39" s="439"/>
      <c r="Y39" s="439"/>
      <c r="Z39" s="440"/>
      <c r="AA39" s="438"/>
      <c r="AB39" s="439"/>
      <c r="AC39" s="439"/>
      <c r="AD39" s="440"/>
      <c r="AE39" s="438"/>
      <c r="AF39" s="439"/>
      <c r="AG39" s="439"/>
      <c r="AH39" s="440"/>
    </row>
    <row r="40" spans="1:34" ht="15" customHeight="1" x14ac:dyDescent="0.15">
      <c r="A40" s="414" t="s">
        <v>212</v>
      </c>
      <c r="B40" s="415"/>
      <c r="C40" s="415"/>
      <c r="D40" s="415"/>
      <c r="E40" s="415"/>
      <c r="F40" s="415"/>
      <c r="G40" s="415"/>
      <c r="H40" s="415"/>
      <c r="I40" s="415"/>
      <c r="J40" s="416"/>
      <c r="K40" s="417" t="s">
        <v>213</v>
      </c>
      <c r="L40" s="418"/>
      <c r="M40" s="418"/>
      <c r="N40" s="419"/>
      <c r="O40" s="414"/>
      <c r="P40" s="415"/>
      <c r="Q40" s="415"/>
      <c r="R40" s="416"/>
      <c r="S40" s="414"/>
      <c r="T40" s="415"/>
      <c r="U40" s="415"/>
      <c r="V40" s="416"/>
      <c r="W40" s="414"/>
      <c r="X40" s="415"/>
      <c r="Y40" s="415"/>
      <c r="Z40" s="416"/>
      <c r="AA40" s="414"/>
      <c r="AB40" s="415"/>
      <c r="AC40" s="415"/>
      <c r="AD40" s="416"/>
      <c r="AE40" s="414"/>
      <c r="AF40" s="415"/>
      <c r="AG40" s="415"/>
      <c r="AH40" s="416"/>
    </row>
    <row r="41" spans="1:34" ht="15" customHeight="1" x14ac:dyDescent="0.15">
      <c r="A41" s="421" t="s">
        <v>214</v>
      </c>
      <c r="B41" s="422"/>
      <c r="C41" s="422"/>
      <c r="D41" s="422"/>
      <c r="E41" s="422"/>
      <c r="F41" s="422"/>
      <c r="G41" s="422"/>
      <c r="H41" s="422"/>
      <c r="I41" s="422"/>
      <c r="J41" s="317"/>
      <c r="K41" s="423" t="s">
        <v>215</v>
      </c>
      <c r="L41" s="424"/>
      <c r="M41" s="424"/>
      <c r="N41" s="425"/>
      <c r="O41" s="421"/>
      <c r="P41" s="422"/>
      <c r="Q41" s="422"/>
      <c r="R41" s="317"/>
      <c r="S41" s="421"/>
      <c r="T41" s="422"/>
      <c r="U41" s="422"/>
      <c r="V41" s="317"/>
      <c r="W41" s="421"/>
      <c r="X41" s="422"/>
      <c r="Y41" s="422"/>
      <c r="Z41" s="317"/>
      <c r="AA41" s="421"/>
      <c r="AB41" s="422"/>
      <c r="AC41" s="422"/>
      <c r="AD41" s="317"/>
      <c r="AE41" s="421"/>
      <c r="AF41" s="422"/>
      <c r="AG41" s="422"/>
      <c r="AH41" s="317"/>
    </row>
    <row r="42" spans="1:34" ht="15" customHeight="1" x14ac:dyDescent="0.15">
      <c r="A42" s="359"/>
      <c r="B42" s="360"/>
      <c r="C42" s="360"/>
      <c r="D42" s="360"/>
      <c r="E42" s="360"/>
      <c r="F42" s="360"/>
      <c r="G42" s="360"/>
      <c r="H42" s="360"/>
      <c r="I42" s="360"/>
      <c r="J42" s="321"/>
      <c r="K42" s="426"/>
      <c r="L42" s="427"/>
      <c r="M42" s="427"/>
      <c r="N42" s="428"/>
      <c r="O42" s="359"/>
      <c r="P42" s="360"/>
      <c r="Q42" s="360"/>
      <c r="R42" s="321"/>
      <c r="S42" s="359"/>
      <c r="T42" s="360"/>
      <c r="U42" s="360"/>
      <c r="V42" s="321"/>
      <c r="W42" s="359"/>
      <c r="X42" s="360"/>
      <c r="Y42" s="360"/>
      <c r="Z42" s="321"/>
      <c r="AA42" s="359"/>
      <c r="AB42" s="360"/>
      <c r="AC42" s="360"/>
      <c r="AD42" s="321"/>
      <c r="AE42" s="359"/>
      <c r="AF42" s="360"/>
      <c r="AG42" s="360"/>
      <c r="AH42" s="321"/>
    </row>
    <row r="43" spans="1:34" ht="15" customHeight="1" x14ac:dyDescent="0.15">
      <c r="A43" s="75"/>
      <c r="B43" s="75"/>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row>
    <row r="44" spans="1:34" ht="15" customHeight="1" x14ac:dyDescent="0.15">
      <c r="A44" s="128" t="s">
        <v>216</v>
      </c>
      <c r="B44" s="129"/>
      <c r="C44" s="129"/>
      <c r="D44" s="129"/>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c r="AH44" s="130"/>
    </row>
    <row r="45" spans="1:34" ht="15" customHeight="1" x14ac:dyDescent="0.15">
      <c r="A45" s="131"/>
      <c r="B45" s="75" t="s">
        <v>217</v>
      </c>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132"/>
    </row>
    <row r="46" spans="1:34" ht="15" customHeight="1" x14ac:dyDescent="0.15">
      <c r="A46" s="131"/>
      <c r="B46" s="75" t="s">
        <v>218</v>
      </c>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132"/>
    </row>
    <row r="47" spans="1:34" ht="15" customHeight="1" x14ac:dyDescent="0.15">
      <c r="A47" s="131"/>
      <c r="B47" s="133" t="s">
        <v>219</v>
      </c>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132"/>
    </row>
    <row r="48" spans="1:34" ht="15" customHeight="1" x14ac:dyDescent="0.15">
      <c r="A48" s="131"/>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132"/>
    </row>
    <row r="49" spans="1:34" ht="15" customHeight="1" x14ac:dyDescent="0.15">
      <c r="A49" s="131"/>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132"/>
    </row>
    <row r="50" spans="1:34" ht="15" customHeight="1" x14ac:dyDescent="0.15">
      <c r="A50" s="420"/>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row>
  </sheetData>
  <mergeCells count="183">
    <mergeCell ref="A9:J9"/>
    <mergeCell ref="K9:V9"/>
    <mergeCell ref="W9:AH9"/>
    <mergeCell ref="A10:J10"/>
    <mergeCell ref="K10:V10"/>
    <mergeCell ref="W10:AH10"/>
    <mergeCell ref="A3:AH3"/>
    <mergeCell ref="W4:AH4"/>
    <mergeCell ref="AD5:AH5"/>
    <mergeCell ref="A6:J8"/>
    <mergeCell ref="K6:V8"/>
    <mergeCell ref="W6:AH8"/>
    <mergeCell ref="A13:J13"/>
    <mergeCell ref="K13:V13"/>
    <mergeCell ref="W13:AH13"/>
    <mergeCell ref="A14:J14"/>
    <mergeCell ref="K14:V14"/>
    <mergeCell ref="W14:AH14"/>
    <mergeCell ref="A11:J11"/>
    <mergeCell ref="K11:V11"/>
    <mergeCell ref="W11:AH11"/>
    <mergeCell ref="A12:J12"/>
    <mergeCell ref="K12:V12"/>
    <mergeCell ref="W12:AH12"/>
    <mergeCell ref="AE15:AH16"/>
    <mergeCell ref="A17:C20"/>
    <mergeCell ref="D17:H17"/>
    <mergeCell ref="I17:J17"/>
    <mergeCell ref="K17:N17"/>
    <mergeCell ref="O17:R17"/>
    <mergeCell ref="S17:V17"/>
    <mergeCell ref="W17:Z17"/>
    <mergeCell ref="AA17:AD17"/>
    <mergeCell ref="AE17:AH17"/>
    <mergeCell ref="A15:J16"/>
    <mergeCell ref="K15:N16"/>
    <mergeCell ref="O15:R16"/>
    <mergeCell ref="S15:V16"/>
    <mergeCell ref="W15:Z16"/>
    <mergeCell ref="AA15:AD16"/>
    <mergeCell ref="AA18:AD18"/>
    <mergeCell ref="AE18:AH18"/>
    <mergeCell ref="D19:H19"/>
    <mergeCell ref="I19:J19"/>
    <mergeCell ref="K19:N19"/>
    <mergeCell ref="O19:R19"/>
    <mergeCell ref="S19:V19"/>
    <mergeCell ref="W19:Z19"/>
    <mergeCell ref="AA19:AD19"/>
    <mergeCell ref="AE19:AH19"/>
    <mergeCell ref="D18:H18"/>
    <mergeCell ref="I18:J18"/>
    <mergeCell ref="K18:N18"/>
    <mergeCell ref="O18:R18"/>
    <mergeCell ref="S18:V18"/>
    <mergeCell ref="W18:Z18"/>
    <mergeCell ref="AA20:AD20"/>
    <mergeCell ref="AE20:AH20"/>
    <mergeCell ref="A21:J22"/>
    <mergeCell ref="K21:N22"/>
    <mergeCell ref="O21:R22"/>
    <mergeCell ref="S21:V22"/>
    <mergeCell ref="W21:Z22"/>
    <mergeCell ref="AA21:AD22"/>
    <mergeCell ref="AE21:AH22"/>
    <mergeCell ref="D20:H20"/>
    <mergeCell ref="I20:J20"/>
    <mergeCell ref="K20:N20"/>
    <mergeCell ref="O20:R20"/>
    <mergeCell ref="S20:V20"/>
    <mergeCell ref="W20:Z20"/>
    <mergeCell ref="AA23:AD24"/>
    <mergeCell ref="AE23:AH24"/>
    <mergeCell ref="A25:H26"/>
    <mergeCell ref="I25:J26"/>
    <mergeCell ref="K25:N26"/>
    <mergeCell ref="O25:R26"/>
    <mergeCell ref="S25:V26"/>
    <mergeCell ref="W25:Z26"/>
    <mergeCell ref="AA25:AD26"/>
    <mergeCell ref="AE25:AH26"/>
    <mergeCell ref="A23:H24"/>
    <mergeCell ref="I23:J24"/>
    <mergeCell ref="K23:N24"/>
    <mergeCell ref="O23:R24"/>
    <mergeCell ref="S23:V24"/>
    <mergeCell ref="W23:Z24"/>
    <mergeCell ref="D30:J31"/>
    <mergeCell ref="K30:N30"/>
    <mergeCell ref="O30:R30"/>
    <mergeCell ref="S30:V30"/>
    <mergeCell ref="W30:Z30"/>
    <mergeCell ref="AE27:AH27"/>
    <mergeCell ref="A28:C33"/>
    <mergeCell ref="D28:J28"/>
    <mergeCell ref="K28:N29"/>
    <mergeCell ref="O28:R28"/>
    <mergeCell ref="S28:V28"/>
    <mergeCell ref="W28:Z28"/>
    <mergeCell ref="AA28:AD28"/>
    <mergeCell ref="AE28:AH28"/>
    <mergeCell ref="D29:J29"/>
    <mergeCell ref="A27:J27"/>
    <mergeCell ref="K27:N27"/>
    <mergeCell ref="O27:R27"/>
    <mergeCell ref="S27:V27"/>
    <mergeCell ref="W27:Z27"/>
    <mergeCell ref="AA27:AD27"/>
    <mergeCell ref="AA30:AD30"/>
    <mergeCell ref="AE30:AH30"/>
    <mergeCell ref="K31:N31"/>
    <mergeCell ref="O31:R31"/>
    <mergeCell ref="S31:V31"/>
    <mergeCell ref="W31:Z31"/>
    <mergeCell ref="AA31:AD31"/>
    <mergeCell ref="AE31:AH31"/>
    <mergeCell ref="O29:R29"/>
    <mergeCell ref="S29:V29"/>
    <mergeCell ref="W29:Z29"/>
    <mergeCell ref="AA29:AD29"/>
    <mergeCell ref="AE29:AH29"/>
    <mergeCell ref="AE32:AH32"/>
    <mergeCell ref="K33:N33"/>
    <mergeCell ref="O33:R33"/>
    <mergeCell ref="S33:V33"/>
    <mergeCell ref="W33:Z33"/>
    <mergeCell ref="AA33:AD33"/>
    <mergeCell ref="AE33:AH33"/>
    <mergeCell ref="D32:J33"/>
    <mergeCell ref="K32:N32"/>
    <mergeCell ref="O32:R32"/>
    <mergeCell ref="S32:V32"/>
    <mergeCell ref="W32:Z32"/>
    <mergeCell ref="AA32:AD32"/>
    <mergeCell ref="AA34:AD34"/>
    <mergeCell ref="AE34:AH34"/>
    <mergeCell ref="K35:N35"/>
    <mergeCell ref="O35:R35"/>
    <mergeCell ref="S35:V35"/>
    <mergeCell ref="W35:Z35"/>
    <mergeCell ref="AA35:AD35"/>
    <mergeCell ref="AE35:AH35"/>
    <mergeCell ref="A34:C35"/>
    <mergeCell ref="D34:J35"/>
    <mergeCell ref="K34:N34"/>
    <mergeCell ref="O34:R34"/>
    <mergeCell ref="S34:V34"/>
    <mergeCell ref="W34:Z34"/>
    <mergeCell ref="AE36:AH37"/>
    <mergeCell ref="A38:J39"/>
    <mergeCell ref="K38:N38"/>
    <mergeCell ref="O38:R38"/>
    <mergeCell ref="S38:V38"/>
    <mergeCell ref="W38:Z38"/>
    <mergeCell ref="AA38:AD38"/>
    <mergeCell ref="AE38:AH38"/>
    <mergeCell ref="K39:N39"/>
    <mergeCell ref="O39:R39"/>
    <mergeCell ref="A36:J37"/>
    <mergeCell ref="K36:N37"/>
    <mergeCell ref="O36:R37"/>
    <mergeCell ref="S36:V37"/>
    <mergeCell ref="W36:Z37"/>
    <mergeCell ref="AA36:AD37"/>
    <mergeCell ref="S39:V39"/>
    <mergeCell ref="W39:Z39"/>
    <mergeCell ref="AA39:AD39"/>
    <mergeCell ref="AE39:AH39"/>
    <mergeCell ref="A40:J40"/>
    <mergeCell ref="K40:N40"/>
    <mergeCell ref="O40:R40"/>
    <mergeCell ref="S40:V40"/>
    <mergeCell ref="W40:Z40"/>
    <mergeCell ref="AA40:AD40"/>
    <mergeCell ref="A50:AH50"/>
    <mergeCell ref="AE40:AH40"/>
    <mergeCell ref="A41:J42"/>
    <mergeCell ref="K41:N42"/>
    <mergeCell ref="O41:R42"/>
    <mergeCell ref="S41:V42"/>
    <mergeCell ref="W41:Z42"/>
    <mergeCell ref="AA41:AD42"/>
    <mergeCell ref="AE41:AH42"/>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48"/>
  <sheetViews>
    <sheetView tabSelected="1" view="pageBreakPreview" zoomScale="115" zoomScaleNormal="100" zoomScaleSheetLayoutView="115" workbookViewId="0">
      <selection activeCell="B33" sqref="B33:G33"/>
    </sheetView>
  </sheetViews>
  <sheetFormatPr defaultColWidth="2.75" defaultRowHeight="12" x14ac:dyDescent="0.15"/>
  <cols>
    <col min="1" max="1" width="1.125" style="2" customWidth="1"/>
    <col min="2" max="33" width="2.75" style="2" customWidth="1"/>
    <col min="34" max="34" width="2.625" style="2" customWidth="1"/>
    <col min="35" max="16384" width="2.75" style="2"/>
  </cols>
  <sheetData>
    <row r="1" spans="1:34" ht="24.75" customHeight="1" x14ac:dyDescent="0.15"/>
    <row r="2" spans="1:34" ht="33.75" customHeight="1" x14ac:dyDescent="0.25">
      <c r="A2" s="632" t="s">
        <v>220</v>
      </c>
      <c r="B2" s="632"/>
      <c r="C2" s="632"/>
      <c r="D2" s="632"/>
      <c r="E2" s="632"/>
      <c r="F2" s="632"/>
      <c r="G2" s="632"/>
      <c r="H2" s="632"/>
      <c r="I2" s="632"/>
      <c r="J2" s="632"/>
      <c r="K2" s="632"/>
      <c r="L2" s="632"/>
      <c r="M2" s="632"/>
      <c r="N2" s="632"/>
      <c r="O2" s="632"/>
      <c r="P2" s="632"/>
      <c r="Q2" s="632"/>
      <c r="R2" s="632"/>
      <c r="S2" s="632"/>
      <c r="T2" s="632"/>
      <c r="U2" s="632"/>
      <c r="V2" s="632"/>
      <c r="W2" s="632"/>
      <c r="X2" s="632"/>
      <c r="Y2" s="632"/>
      <c r="Z2" s="632"/>
      <c r="AA2" s="632"/>
      <c r="AB2" s="632"/>
      <c r="AC2" s="632"/>
      <c r="AD2" s="632"/>
      <c r="AE2" s="632"/>
      <c r="AF2" s="632"/>
      <c r="AG2" s="632"/>
      <c r="AH2" s="632"/>
    </row>
    <row r="3" spans="1:34" ht="16.5" customHeight="1" x14ac:dyDescent="0.15">
      <c r="A3" s="75"/>
      <c r="B3" s="75"/>
      <c r="C3" s="75"/>
      <c r="D3" s="75"/>
      <c r="E3" s="75"/>
      <c r="F3" s="75"/>
      <c r="G3" s="75"/>
      <c r="H3" s="75"/>
      <c r="I3" s="75"/>
      <c r="J3" s="75"/>
      <c r="K3" s="75"/>
      <c r="L3" s="75"/>
      <c r="M3" s="75"/>
      <c r="N3" s="75"/>
      <c r="O3" s="75"/>
      <c r="P3" s="75"/>
      <c r="Q3" s="75"/>
      <c r="R3" s="75"/>
      <c r="S3" s="75"/>
      <c r="T3" s="75"/>
      <c r="U3" s="127"/>
      <c r="V3" s="75"/>
      <c r="W3" s="400"/>
      <c r="X3" s="400"/>
      <c r="Y3" s="400"/>
      <c r="Z3" s="400"/>
      <c r="AA3" s="400"/>
      <c r="AB3" s="400"/>
      <c r="AC3" s="400"/>
      <c r="AD3" s="400"/>
      <c r="AE3" s="400"/>
      <c r="AF3" s="400"/>
      <c r="AG3" s="400"/>
      <c r="AH3" s="400"/>
    </row>
    <row r="4" spans="1:34" ht="15" customHeight="1" x14ac:dyDescent="0.15">
      <c r="A4" s="75"/>
      <c r="B4" s="75"/>
      <c r="C4" s="75"/>
      <c r="D4" s="75"/>
      <c r="E4" s="75"/>
      <c r="F4" s="75"/>
      <c r="G4" s="75"/>
      <c r="H4" s="75"/>
      <c r="I4" s="75"/>
      <c r="J4" s="75"/>
      <c r="K4" s="75"/>
      <c r="L4" s="75"/>
      <c r="M4" s="75"/>
      <c r="N4" s="75"/>
      <c r="O4" s="75"/>
      <c r="P4" s="75"/>
      <c r="Q4" s="75"/>
      <c r="R4" s="75"/>
      <c r="S4" s="75"/>
      <c r="T4" s="75"/>
      <c r="U4" s="75"/>
      <c r="V4" s="75"/>
      <c r="W4" s="547"/>
      <c r="X4" s="547"/>
      <c r="Y4" s="547"/>
      <c r="Z4" s="547"/>
      <c r="AA4" s="547"/>
      <c r="AB4" s="547"/>
      <c r="AC4" s="547"/>
      <c r="AD4" s="547"/>
      <c r="AE4" s="547"/>
      <c r="AF4" s="547"/>
      <c r="AG4" s="547"/>
      <c r="AH4" s="547"/>
    </row>
    <row r="5" spans="1:34" ht="15" customHeight="1" x14ac:dyDescent="0.15">
      <c r="A5" s="421" t="s">
        <v>188</v>
      </c>
      <c r="B5" s="422"/>
      <c r="C5" s="422"/>
      <c r="D5" s="422"/>
      <c r="E5" s="422"/>
      <c r="F5" s="422"/>
      <c r="G5" s="422"/>
      <c r="H5" s="422"/>
      <c r="I5" s="422"/>
      <c r="J5" s="317"/>
      <c r="K5" s="421" t="s">
        <v>221</v>
      </c>
      <c r="L5" s="422"/>
      <c r="M5" s="422"/>
      <c r="N5" s="422"/>
      <c r="O5" s="422"/>
      <c r="P5" s="422"/>
      <c r="Q5" s="422"/>
      <c r="R5" s="422"/>
      <c r="S5" s="422"/>
      <c r="T5" s="422"/>
      <c r="U5" s="422"/>
      <c r="V5" s="422"/>
      <c r="W5" s="422"/>
      <c r="X5" s="422"/>
      <c r="Y5" s="422"/>
      <c r="Z5" s="422"/>
      <c r="AA5" s="422"/>
      <c r="AB5" s="422"/>
      <c r="AC5" s="422"/>
      <c r="AD5" s="422"/>
      <c r="AE5" s="422"/>
      <c r="AF5" s="422"/>
      <c r="AG5" s="422"/>
      <c r="AH5" s="317"/>
    </row>
    <row r="6" spans="1:34" ht="15" customHeight="1" x14ac:dyDescent="0.15">
      <c r="A6" s="548"/>
      <c r="B6" s="549"/>
      <c r="C6" s="549"/>
      <c r="D6" s="549"/>
      <c r="E6" s="549"/>
      <c r="F6" s="549"/>
      <c r="G6" s="549"/>
      <c r="H6" s="549"/>
      <c r="I6" s="549"/>
      <c r="J6" s="319"/>
      <c r="K6" s="548"/>
      <c r="L6" s="549"/>
      <c r="M6" s="549"/>
      <c r="N6" s="549"/>
      <c r="O6" s="549"/>
      <c r="P6" s="549"/>
      <c r="Q6" s="549"/>
      <c r="R6" s="549"/>
      <c r="S6" s="549"/>
      <c r="T6" s="549"/>
      <c r="U6" s="549"/>
      <c r="V6" s="549"/>
      <c r="W6" s="549"/>
      <c r="X6" s="549"/>
      <c r="Y6" s="549"/>
      <c r="Z6" s="549"/>
      <c r="AA6" s="549"/>
      <c r="AB6" s="549"/>
      <c r="AC6" s="549"/>
      <c r="AD6" s="549"/>
      <c r="AE6" s="549"/>
      <c r="AF6" s="549"/>
      <c r="AG6" s="549"/>
      <c r="AH6" s="319"/>
    </row>
    <row r="7" spans="1:34" ht="15" customHeight="1" x14ac:dyDescent="0.15">
      <c r="A7" s="359"/>
      <c r="B7" s="360"/>
      <c r="C7" s="360"/>
      <c r="D7" s="360"/>
      <c r="E7" s="360"/>
      <c r="F7" s="360"/>
      <c r="G7" s="360"/>
      <c r="H7" s="360"/>
      <c r="I7" s="360"/>
      <c r="J7" s="321"/>
      <c r="K7" s="359"/>
      <c r="L7" s="360"/>
      <c r="M7" s="360"/>
      <c r="N7" s="360"/>
      <c r="O7" s="360"/>
      <c r="P7" s="360"/>
      <c r="Q7" s="360"/>
      <c r="R7" s="360"/>
      <c r="S7" s="360"/>
      <c r="T7" s="360"/>
      <c r="U7" s="360"/>
      <c r="V7" s="360"/>
      <c r="W7" s="360"/>
      <c r="X7" s="360"/>
      <c r="Y7" s="360"/>
      <c r="Z7" s="360"/>
      <c r="AA7" s="360"/>
      <c r="AB7" s="360"/>
      <c r="AC7" s="360"/>
      <c r="AD7" s="360"/>
      <c r="AE7" s="360"/>
      <c r="AF7" s="360"/>
      <c r="AG7" s="360"/>
      <c r="AH7" s="321"/>
    </row>
    <row r="8" spans="1:34" ht="15" customHeight="1" x14ac:dyDescent="0.15">
      <c r="A8" s="527" t="s">
        <v>222</v>
      </c>
      <c r="B8" s="528"/>
      <c r="C8" s="528"/>
      <c r="D8" s="528"/>
      <c r="E8" s="528"/>
      <c r="F8" s="528"/>
      <c r="G8" s="528"/>
      <c r="H8" s="528"/>
      <c r="I8" s="528"/>
      <c r="J8" s="544"/>
      <c r="K8" s="527" t="s">
        <v>223</v>
      </c>
      <c r="L8" s="528"/>
      <c r="M8" s="528"/>
      <c r="N8" s="528"/>
      <c r="O8" s="528"/>
      <c r="P8" s="528"/>
      <c r="Q8" s="528"/>
      <c r="R8" s="528"/>
      <c r="S8" s="528"/>
      <c r="T8" s="528"/>
      <c r="U8" s="528"/>
      <c r="V8" s="544"/>
      <c r="W8" s="527" t="s">
        <v>224</v>
      </c>
      <c r="X8" s="528"/>
      <c r="Y8" s="528"/>
      <c r="Z8" s="528"/>
      <c r="AA8" s="528"/>
      <c r="AB8" s="528"/>
      <c r="AC8" s="528"/>
      <c r="AD8" s="528"/>
      <c r="AE8" s="528"/>
      <c r="AF8" s="528"/>
      <c r="AG8" s="528"/>
      <c r="AH8" s="544"/>
    </row>
    <row r="9" spans="1:34" ht="15" customHeight="1" x14ac:dyDescent="0.15">
      <c r="A9" s="502" t="s">
        <v>190</v>
      </c>
      <c r="B9" s="503"/>
      <c r="C9" s="503"/>
      <c r="D9" s="503"/>
      <c r="E9" s="503"/>
      <c r="F9" s="503"/>
      <c r="G9" s="503"/>
      <c r="H9" s="503"/>
      <c r="I9" s="503"/>
      <c r="J9" s="537"/>
      <c r="K9" s="630" t="s">
        <v>225</v>
      </c>
      <c r="L9" s="628"/>
      <c r="M9" s="628"/>
      <c r="N9" s="628"/>
      <c r="O9" s="628"/>
      <c r="P9" s="628"/>
      <c r="Q9" s="628"/>
      <c r="R9" s="628"/>
      <c r="S9" s="628"/>
      <c r="T9" s="628"/>
      <c r="U9" s="628"/>
      <c r="V9" s="629"/>
      <c r="W9" s="630" t="s">
        <v>225</v>
      </c>
      <c r="X9" s="628"/>
      <c r="Y9" s="628"/>
      <c r="Z9" s="628"/>
      <c r="AA9" s="628"/>
      <c r="AB9" s="628"/>
      <c r="AC9" s="628"/>
      <c r="AD9" s="628"/>
      <c r="AE9" s="628"/>
      <c r="AF9" s="628"/>
      <c r="AG9" s="628"/>
      <c r="AH9" s="629"/>
    </row>
    <row r="10" spans="1:34" ht="15" customHeight="1" x14ac:dyDescent="0.15">
      <c r="A10" s="502" t="s">
        <v>192</v>
      </c>
      <c r="B10" s="503"/>
      <c r="C10" s="503"/>
      <c r="D10" s="503"/>
      <c r="E10" s="503"/>
      <c r="F10" s="503"/>
      <c r="G10" s="503"/>
      <c r="H10" s="503"/>
      <c r="I10" s="503"/>
      <c r="J10" s="537"/>
      <c r="K10" s="539" t="s">
        <v>352</v>
      </c>
      <c r="L10" s="631"/>
      <c r="M10" s="539"/>
      <c r="N10" s="539"/>
      <c r="O10" s="539"/>
      <c r="P10" s="539"/>
      <c r="Q10" s="539"/>
      <c r="R10" s="539"/>
      <c r="S10" s="539"/>
      <c r="T10" s="539"/>
      <c r="U10" s="539"/>
      <c r="V10" s="539"/>
      <c r="W10" s="539" t="s">
        <v>193</v>
      </c>
      <c r="X10" s="539"/>
      <c r="Y10" s="539"/>
      <c r="Z10" s="539"/>
      <c r="AA10" s="539"/>
      <c r="AB10" s="539"/>
      <c r="AC10" s="539"/>
      <c r="AD10" s="539"/>
      <c r="AE10" s="539"/>
      <c r="AF10" s="539"/>
      <c r="AG10" s="539"/>
      <c r="AH10" s="539"/>
    </row>
    <row r="11" spans="1:34" ht="15" customHeight="1" x14ac:dyDescent="0.15">
      <c r="A11" s="502" t="s">
        <v>194</v>
      </c>
      <c r="B11" s="503"/>
      <c r="C11" s="503"/>
      <c r="D11" s="503"/>
      <c r="E11" s="503"/>
      <c r="F11" s="503"/>
      <c r="G11" s="503"/>
      <c r="H11" s="503"/>
      <c r="I11" s="503"/>
      <c r="J11" s="537"/>
      <c r="K11" s="631" t="s">
        <v>351</v>
      </c>
      <c r="L11" s="628"/>
      <c r="M11" s="628"/>
      <c r="N11" s="628"/>
      <c r="O11" s="628"/>
      <c r="P11" s="628"/>
      <c r="Q11" s="628"/>
      <c r="R11" s="628"/>
      <c r="S11" s="628"/>
      <c r="T11" s="628"/>
      <c r="U11" s="628"/>
      <c r="V11" s="629"/>
      <c r="W11" s="630" t="s">
        <v>226</v>
      </c>
      <c r="X11" s="628"/>
      <c r="Y11" s="628"/>
      <c r="Z11" s="628"/>
      <c r="AA11" s="628"/>
      <c r="AB11" s="628"/>
      <c r="AC11" s="628"/>
      <c r="AD11" s="628"/>
      <c r="AE11" s="628"/>
      <c r="AF11" s="628"/>
      <c r="AG11" s="628"/>
      <c r="AH11" s="629"/>
    </row>
    <row r="12" spans="1:34" ht="15" customHeight="1" x14ac:dyDescent="0.15">
      <c r="A12" s="502" t="s">
        <v>196</v>
      </c>
      <c r="B12" s="503"/>
      <c r="C12" s="503"/>
      <c r="D12" s="503"/>
      <c r="E12" s="503"/>
      <c r="F12" s="503"/>
      <c r="G12" s="503"/>
      <c r="H12" s="503"/>
      <c r="I12" s="503"/>
      <c r="J12" s="537"/>
      <c r="K12" s="627" t="s">
        <v>227</v>
      </c>
      <c r="L12" s="628"/>
      <c r="M12" s="628"/>
      <c r="N12" s="628"/>
      <c r="O12" s="628"/>
      <c r="P12" s="628"/>
      <c r="Q12" s="628"/>
      <c r="R12" s="628"/>
      <c r="S12" s="628"/>
      <c r="T12" s="628"/>
      <c r="U12" s="628"/>
      <c r="V12" s="629"/>
      <c r="W12" s="627" t="s">
        <v>227</v>
      </c>
      <c r="X12" s="628"/>
      <c r="Y12" s="628"/>
      <c r="Z12" s="628"/>
      <c r="AA12" s="628"/>
      <c r="AB12" s="628"/>
      <c r="AC12" s="628"/>
      <c r="AD12" s="628"/>
      <c r="AE12" s="628"/>
      <c r="AF12" s="628"/>
      <c r="AG12" s="628"/>
      <c r="AH12" s="629"/>
    </row>
    <row r="13" spans="1:34" ht="15" customHeight="1" x14ac:dyDescent="0.15">
      <c r="A13" s="540" t="s">
        <v>198</v>
      </c>
      <c r="B13" s="541"/>
      <c r="C13" s="541"/>
      <c r="D13" s="541"/>
      <c r="E13" s="541"/>
      <c r="F13" s="541"/>
      <c r="G13" s="541"/>
      <c r="H13" s="541"/>
      <c r="I13" s="541"/>
      <c r="J13" s="542"/>
      <c r="K13" s="622" t="s">
        <v>228</v>
      </c>
      <c r="L13" s="623"/>
      <c r="M13" s="623"/>
      <c r="N13" s="623"/>
      <c r="O13" s="623"/>
      <c r="P13" s="623"/>
      <c r="Q13" s="623"/>
      <c r="R13" s="623"/>
      <c r="S13" s="623"/>
      <c r="T13" s="623"/>
      <c r="U13" s="623"/>
      <c r="V13" s="624"/>
      <c r="W13" s="622" t="s">
        <v>228</v>
      </c>
      <c r="X13" s="623"/>
      <c r="Y13" s="623"/>
      <c r="Z13" s="623"/>
      <c r="AA13" s="623"/>
      <c r="AB13" s="623"/>
      <c r="AC13" s="623"/>
      <c r="AD13" s="623"/>
      <c r="AE13" s="623"/>
      <c r="AF13" s="623"/>
      <c r="AG13" s="623"/>
      <c r="AH13" s="624"/>
    </row>
    <row r="14" spans="1:34" ht="15" customHeight="1" x14ac:dyDescent="0.15">
      <c r="A14" s="414" t="s">
        <v>229</v>
      </c>
      <c r="B14" s="415"/>
      <c r="C14" s="415"/>
      <c r="D14" s="415"/>
      <c r="E14" s="415"/>
      <c r="F14" s="415"/>
      <c r="G14" s="415"/>
      <c r="H14" s="415"/>
      <c r="I14" s="415"/>
      <c r="J14" s="416"/>
      <c r="K14" s="414" t="s">
        <v>230</v>
      </c>
      <c r="L14" s="625"/>
      <c r="M14" s="625"/>
      <c r="N14" s="625"/>
      <c r="O14" s="626" t="s">
        <v>349</v>
      </c>
      <c r="P14" s="626"/>
      <c r="Q14" s="626"/>
      <c r="R14" s="626"/>
      <c r="S14" s="626" t="s">
        <v>354</v>
      </c>
      <c r="T14" s="626"/>
      <c r="U14" s="626"/>
      <c r="V14" s="626"/>
      <c r="W14" s="626" t="str">
        <f>K14</f>
        <v>150/5A</v>
      </c>
      <c r="X14" s="626"/>
      <c r="Y14" s="626"/>
      <c r="Z14" s="626"/>
      <c r="AA14" s="626" t="s">
        <v>349</v>
      </c>
      <c r="AB14" s="626"/>
      <c r="AC14" s="626"/>
      <c r="AD14" s="626"/>
      <c r="AE14" s="626" t="s">
        <v>354</v>
      </c>
      <c r="AF14" s="626"/>
      <c r="AG14" s="626"/>
      <c r="AH14" s="626"/>
    </row>
    <row r="15" spans="1:34" ht="15" customHeight="1" x14ac:dyDescent="0.15">
      <c r="A15" s="435"/>
      <c r="B15" s="436"/>
      <c r="C15" s="436"/>
      <c r="D15" s="436"/>
      <c r="E15" s="436"/>
      <c r="F15" s="436"/>
      <c r="G15" s="436"/>
      <c r="H15" s="436"/>
      <c r="I15" s="436"/>
      <c r="J15" s="437"/>
      <c r="K15" s="518"/>
      <c r="L15" s="519"/>
      <c r="M15" s="519"/>
      <c r="N15" s="520"/>
      <c r="O15" s="518"/>
      <c r="P15" s="519"/>
      <c r="Q15" s="519"/>
      <c r="R15" s="520"/>
      <c r="S15" s="518"/>
      <c r="T15" s="519"/>
      <c r="U15" s="519"/>
      <c r="V15" s="520"/>
      <c r="W15" s="518"/>
      <c r="X15" s="519"/>
      <c r="Y15" s="519"/>
      <c r="Z15" s="520"/>
      <c r="AA15" s="518"/>
      <c r="AB15" s="519"/>
      <c r="AC15" s="519"/>
      <c r="AD15" s="520"/>
      <c r="AE15" s="518"/>
      <c r="AF15" s="519"/>
      <c r="AG15" s="519"/>
      <c r="AH15" s="520"/>
    </row>
    <row r="16" spans="1:34" ht="15" customHeight="1" x14ac:dyDescent="0.15">
      <c r="A16" s="438"/>
      <c r="B16" s="439"/>
      <c r="C16" s="439"/>
      <c r="D16" s="439"/>
      <c r="E16" s="439"/>
      <c r="F16" s="439"/>
      <c r="G16" s="439"/>
      <c r="H16" s="439"/>
      <c r="I16" s="439"/>
      <c r="J16" s="440"/>
      <c r="K16" s="521"/>
      <c r="L16" s="522"/>
      <c r="M16" s="522"/>
      <c r="N16" s="523"/>
      <c r="O16" s="521"/>
      <c r="P16" s="522"/>
      <c r="Q16" s="522"/>
      <c r="R16" s="523"/>
      <c r="S16" s="521"/>
      <c r="T16" s="522"/>
      <c r="U16" s="522"/>
      <c r="V16" s="523"/>
      <c r="W16" s="521"/>
      <c r="X16" s="522"/>
      <c r="Y16" s="522"/>
      <c r="Z16" s="523"/>
      <c r="AA16" s="521"/>
      <c r="AB16" s="522"/>
      <c r="AC16" s="522"/>
      <c r="AD16" s="523"/>
      <c r="AE16" s="521"/>
      <c r="AF16" s="522"/>
      <c r="AG16" s="522"/>
      <c r="AH16" s="523"/>
    </row>
    <row r="17" spans="1:34" ht="15" customHeight="1" x14ac:dyDescent="0.15">
      <c r="A17" s="472" t="s">
        <v>200</v>
      </c>
      <c r="B17" s="473"/>
      <c r="C17" s="474"/>
      <c r="D17" s="527" t="s">
        <v>231</v>
      </c>
      <c r="E17" s="528"/>
      <c r="F17" s="528"/>
      <c r="G17" s="528"/>
      <c r="H17" s="528"/>
      <c r="I17" s="529" t="s">
        <v>232</v>
      </c>
      <c r="J17" s="530"/>
      <c r="K17" s="619">
        <v>3.5</v>
      </c>
      <c r="L17" s="620"/>
      <c r="M17" s="620"/>
      <c r="N17" s="621"/>
      <c r="O17" s="534"/>
      <c r="P17" s="535"/>
      <c r="Q17" s="535"/>
      <c r="R17" s="536"/>
      <c r="S17" s="534"/>
      <c r="T17" s="535"/>
      <c r="U17" s="535"/>
      <c r="V17" s="536"/>
      <c r="W17" s="619">
        <v>3.5</v>
      </c>
      <c r="X17" s="620"/>
      <c r="Y17" s="620"/>
      <c r="Z17" s="621"/>
      <c r="AA17" s="534"/>
      <c r="AB17" s="535"/>
      <c r="AC17" s="535"/>
      <c r="AD17" s="536"/>
      <c r="AE17" s="534"/>
      <c r="AF17" s="535"/>
      <c r="AG17" s="535"/>
      <c r="AH17" s="536"/>
    </row>
    <row r="18" spans="1:34" ht="15" customHeight="1" x14ac:dyDescent="0.15">
      <c r="A18" s="475"/>
      <c r="B18" s="476"/>
      <c r="C18" s="477"/>
      <c r="D18" s="502" t="s">
        <v>233</v>
      </c>
      <c r="E18" s="503"/>
      <c r="F18" s="503"/>
      <c r="G18" s="503"/>
      <c r="H18" s="503"/>
      <c r="I18" s="504" t="s">
        <v>204</v>
      </c>
      <c r="J18" s="505"/>
      <c r="K18" s="515">
        <v>1</v>
      </c>
      <c r="L18" s="516"/>
      <c r="M18" s="516"/>
      <c r="N18" s="517"/>
      <c r="O18" s="515"/>
      <c r="P18" s="516"/>
      <c r="Q18" s="516"/>
      <c r="R18" s="517"/>
      <c r="S18" s="515"/>
      <c r="T18" s="516"/>
      <c r="U18" s="516"/>
      <c r="V18" s="517"/>
      <c r="W18" s="515">
        <v>1</v>
      </c>
      <c r="X18" s="516"/>
      <c r="Y18" s="516"/>
      <c r="Z18" s="517"/>
      <c r="AA18" s="515"/>
      <c r="AB18" s="516"/>
      <c r="AC18" s="516"/>
      <c r="AD18" s="517"/>
      <c r="AE18" s="515"/>
      <c r="AF18" s="516"/>
      <c r="AG18" s="516"/>
      <c r="AH18" s="517"/>
    </row>
    <row r="19" spans="1:34" ht="15" customHeight="1" x14ac:dyDescent="0.15">
      <c r="A19" s="475"/>
      <c r="B19" s="476"/>
      <c r="C19" s="477"/>
      <c r="D19" s="502" t="s">
        <v>234</v>
      </c>
      <c r="E19" s="503"/>
      <c r="F19" s="503"/>
      <c r="G19" s="503"/>
      <c r="H19" s="503"/>
      <c r="I19" s="504" t="s">
        <v>232</v>
      </c>
      <c r="J19" s="505"/>
      <c r="K19" s="509">
        <v>20</v>
      </c>
      <c r="L19" s="510"/>
      <c r="M19" s="510"/>
      <c r="N19" s="511"/>
      <c r="O19" s="509"/>
      <c r="P19" s="510"/>
      <c r="Q19" s="510"/>
      <c r="R19" s="511"/>
      <c r="S19" s="509"/>
      <c r="T19" s="510"/>
      <c r="U19" s="510"/>
      <c r="V19" s="511"/>
      <c r="W19" s="509">
        <v>20</v>
      </c>
      <c r="X19" s="510"/>
      <c r="Y19" s="510"/>
      <c r="Z19" s="511"/>
      <c r="AA19" s="509"/>
      <c r="AB19" s="510"/>
      <c r="AC19" s="510"/>
      <c r="AD19" s="511"/>
      <c r="AE19" s="509"/>
      <c r="AF19" s="510"/>
      <c r="AG19" s="510"/>
      <c r="AH19" s="511"/>
    </row>
    <row r="20" spans="1:34" ht="15" customHeight="1" x14ac:dyDescent="0.15">
      <c r="A20" s="524"/>
      <c r="B20" s="525"/>
      <c r="C20" s="526"/>
      <c r="D20" s="502"/>
      <c r="E20" s="503"/>
      <c r="F20" s="503"/>
      <c r="G20" s="503"/>
      <c r="H20" s="503"/>
      <c r="I20" s="504"/>
      <c r="J20" s="505"/>
      <c r="K20" s="506"/>
      <c r="L20" s="507"/>
      <c r="M20" s="507"/>
      <c r="N20" s="508"/>
      <c r="O20" s="506"/>
      <c r="P20" s="507"/>
      <c r="Q20" s="507"/>
      <c r="R20" s="508"/>
      <c r="S20" s="506"/>
      <c r="T20" s="507"/>
      <c r="U20" s="507"/>
      <c r="V20" s="508"/>
      <c r="W20" s="506"/>
      <c r="X20" s="507"/>
      <c r="Y20" s="507"/>
      <c r="Z20" s="508"/>
      <c r="AA20" s="506"/>
      <c r="AB20" s="507"/>
      <c r="AC20" s="507"/>
      <c r="AD20" s="508"/>
      <c r="AE20" s="506"/>
      <c r="AF20" s="507"/>
      <c r="AG20" s="507"/>
      <c r="AH20" s="508"/>
    </row>
    <row r="21" spans="1:34" ht="15" customHeight="1" x14ac:dyDescent="0.15">
      <c r="A21" s="435"/>
      <c r="B21" s="436"/>
      <c r="C21" s="436"/>
      <c r="D21" s="436"/>
      <c r="E21" s="436"/>
      <c r="F21" s="436"/>
      <c r="G21" s="436"/>
      <c r="H21" s="436"/>
      <c r="I21" s="436"/>
      <c r="J21" s="437"/>
      <c r="K21" s="442"/>
      <c r="L21" s="443"/>
      <c r="M21" s="443"/>
      <c r="N21" s="444"/>
      <c r="O21" s="429"/>
      <c r="P21" s="430"/>
      <c r="Q21" s="430"/>
      <c r="R21" s="431"/>
      <c r="S21" s="429"/>
      <c r="T21" s="430"/>
      <c r="U21" s="430"/>
      <c r="V21" s="431"/>
      <c r="W21" s="442"/>
      <c r="X21" s="443"/>
      <c r="Y21" s="443"/>
      <c r="Z21" s="444"/>
      <c r="AA21" s="429"/>
      <c r="AB21" s="430"/>
      <c r="AC21" s="430"/>
      <c r="AD21" s="431"/>
      <c r="AE21" s="429"/>
      <c r="AF21" s="430"/>
      <c r="AG21" s="430"/>
      <c r="AH21" s="431"/>
    </row>
    <row r="22" spans="1:34" ht="15" customHeight="1" x14ac:dyDescent="0.15">
      <c r="A22" s="438"/>
      <c r="B22" s="439"/>
      <c r="C22" s="439"/>
      <c r="D22" s="439"/>
      <c r="E22" s="439"/>
      <c r="F22" s="439"/>
      <c r="G22" s="439"/>
      <c r="H22" s="439"/>
      <c r="I22" s="439"/>
      <c r="J22" s="440"/>
      <c r="K22" s="445"/>
      <c r="L22" s="446"/>
      <c r="M22" s="446"/>
      <c r="N22" s="447"/>
      <c r="O22" s="432"/>
      <c r="P22" s="433"/>
      <c r="Q22" s="433"/>
      <c r="R22" s="434"/>
      <c r="S22" s="432"/>
      <c r="T22" s="433"/>
      <c r="U22" s="433"/>
      <c r="V22" s="434"/>
      <c r="W22" s="445"/>
      <c r="X22" s="446"/>
      <c r="Y22" s="446"/>
      <c r="Z22" s="447"/>
      <c r="AA22" s="432"/>
      <c r="AB22" s="433"/>
      <c r="AC22" s="433"/>
      <c r="AD22" s="434"/>
      <c r="AE22" s="432"/>
      <c r="AF22" s="433"/>
      <c r="AG22" s="433"/>
      <c r="AH22" s="434"/>
    </row>
    <row r="23" spans="1:34" ht="15" customHeight="1" x14ac:dyDescent="0.15">
      <c r="A23" s="421" t="s">
        <v>235</v>
      </c>
      <c r="B23" s="422"/>
      <c r="C23" s="422"/>
      <c r="D23" s="422"/>
      <c r="E23" s="422"/>
      <c r="F23" s="422"/>
      <c r="G23" s="422"/>
      <c r="H23" s="422"/>
      <c r="I23" s="422" t="s">
        <v>232</v>
      </c>
      <c r="J23" s="317"/>
      <c r="K23" s="607">
        <v>3.45</v>
      </c>
      <c r="L23" s="608"/>
      <c r="M23" s="608"/>
      <c r="N23" s="609"/>
      <c r="O23" s="613"/>
      <c r="P23" s="614"/>
      <c r="Q23" s="614"/>
      <c r="R23" s="615"/>
      <c r="S23" s="613"/>
      <c r="T23" s="614"/>
      <c r="U23" s="614"/>
      <c r="V23" s="615"/>
      <c r="W23" s="607">
        <v>3.5</v>
      </c>
      <c r="X23" s="608"/>
      <c r="Y23" s="608"/>
      <c r="Z23" s="609"/>
      <c r="AA23" s="490"/>
      <c r="AB23" s="491"/>
      <c r="AC23" s="491"/>
      <c r="AD23" s="492"/>
      <c r="AE23" s="490"/>
      <c r="AF23" s="491"/>
      <c r="AG23" s="491"/>
      <c r="AH23" s="492"/>
    </row>
    <row r="24" spans="1:34" ht="15" customHeight="1" x14ac:dyDescent="0.15">
      <c r="A24" s="359"/>
      <c r="B24" s="360"/>
      <c r="C24" s="360"/>
      <c r="D24" s="360"/>
      <c r="E24" s="360"/>
      <c r="F24" s="360"/>
      <c r="G24" s="360"/>
      <c r="H24" s="360"/>
      <c r="I24" s="360"/>
      <c r="J24" s="321"/>
      <c r="K24" s="610"/>
      <c r="L24" s="611"/>
      <c r="M24" s="611"/>
      <c r="N24" s="612"/>
      <c r="O24" s="616"/>
      <c r="P24" s="617"/>
      <c r="Q24" s="617"/>
      <c r="R24" s="618"/>
      <c r="S24" s="616"/>
      <c r="T24" s="617"/>
      <c r="U24" s="617"/>
      <c r="V24" s="618"/>
      <c r="W24" s="610"/>
      <c r="X24" s="611"/>
      <c r="Y24" s="611"/>
      <c r="Z24" s="612"/>
      <c r="AA24" s="493"/>
      <c r="AB24" s="494"/>
      <c r="AC24" s="494"/>
      <c r="AD24" s="495"/>
      <c r="AE24" s="493"/>
      <c r="AF24" s="494"/>
      <c r="AG24" s="494"/>
      <c r="AH24" s="495"/>
    </row>
    <row r="25" spans="1:34" ht="15" customHeight="1" x14ac:dyDescent="0.15">
      <c r="A25" s="435" t="s">
        <v>236</v>
      </c>
      <c r="B25" s="436"/>
      <c r="C25" s="437"/>
      <c r="D25" s="604" t="s">
        <v>237</v>
      </c>
      <c r="E25" s="605"/>
      <c r="F25" s="605"/>
      <c r="G25" s="605"/>
      <c r="H25" s="605"/>
      <c r="I25" s="605"/>
      <c r="J25" s="606"/>
      <c r="K25" s="487" t="str">
        <f>IF(K$17="","","("&amp;K$17*1.5&amp;"A)")</f>
        <v>(5.25A)</v>
      </c>
      <c r="L25" s="488"/>
      <c r="M25" s="488"/>
      <c r="N25" s="489"/>
      <c r="O25" s="487" t="str">
        <f>IF(O$17="","","("&amp;O$17*2&amp;"A)")</f>
        <v/>
      </c>
      <c r="P25" s="488"/>
      <c r="Q25" s="488"/>
      <c r="R25" s="489"/>
      <c r="S25" s="487" t="str">
        <f>IF(S$17="","","("&amp;S$17*2&amp;"A)")</f>
        <v/>
      </c>
      <c r="T25" s="488"/>
      <c r="U25" s="488"/>
      <c r="V25" s="489"/>
      <c r="W25" s="487" t="str">
        <f>IF(W$17="","","("&amp;W$17*1.5&amp;"A)")</f>
        <v>(5.25A)</v>
      </c>
      <c r="X25" s="488"/>
      <c r="Y25" s="488"/>
      <c r="Z25" s="489"/>
      <c r="AA25" s="487" t="str">
        <f>IF(AA$17="","","("&amp;AA$17*2&amp;"A)")</f>
        <v/>
      </c>
      <c r="AB25" s="488"/>
      <c r="AC25" s="488"/>
      <c r="AD25" s="489"/>
      <c r="AE25" s="487" t="str">
        <f>IF(AE$17="","","("&amp;AE$17*2&amp;"A)")</f>
        <v/>
      </c>
      <c r="AF25" s="488"/>
      <c r="AG25" s="488"/>
      <c r="AH25" s="489"/>
    </row>
    <row r="26" spans="1:34" ht="15" customHeight="1" x14ac:dyDescent="0.15">
      <c r="A26" s="595" t="s">
        <v>238</v>
      </c>
      <c r="B26" s="596"/>
      <c r="C26" s="597"/>
      <c r="D26" s="466"/>
      <c r="E26" s="467"/>
      <c r="F26" s="467"/>
      <c r="G26" s="467"/>
      <c r="H26" s="467"/>
      <c r="I26" s="467"/>
      <c r="J26" s="468"/>
      <c r="K26" s="451"/>
      <c r="L26" s="452"/>
      <c r="M26" s="452"/>
      <c r="N26" s="453"/>
      <c r="O26" s="451"/>
      <c r="P26" s="452"/>
      <c r="Q26" s="452"/>
      <c r="R26" s="453"/>
      <c r="S26" s="451"/>
      <c r="T26" s="452"/>
      <c r="U26" s="452"/>
      <c r="V26" s="453"/>
      <c r="W26" s="451"/>
      <c r="X26" s="452"/>
      <c r="Y26" s="452"/>
      <c r="Z26" s="453"/>
      <c r="AA26" s="451"/>
      <c r="AB26" s="452"/>
      <c r="AC26" s="452"/>
      <c r="AD26" s="453"/>
      <c r="AE26" s="451"/>
      <c r="AF26" s="452"/>
      <c r="AG26" s="452"/>
      <c r="AH26" s="453"/>
    </row>
    <row r="27" spans="1:34" ht="15" customHeight="1" x14ac:dyDescent="0.15">
      <c r="A27" s="595" t="s">
        <v>239</v>
      </c>
      <c r="B27" s="596"/>
      <c r="C27" s="597"/>
      <c r="D27" s="463" t="s">
        <v>240</v>
      </c>
      <c r="E27" s="464"/>
      <c r="F27" s="464"/>
      <c r="G27" s="464"/>
      <c r="H27" s="464"/>
      <c r="I27" s="464"/>
      <c r="J27" s="465"/>
      <c r="K27" s="448" t="str">
        <f>IF(K$17="","","("&amp;K$17*2&amp;"A)")</f>
        <v>(7A)</v>
      </c>
      <c r="L27" s="449"/>
      <c r="M27" s="449"/>
      <c r="N27" s="450"/>
      <c r="O27" s="448" t="str">
        <f>IF(O$17="","","("&amp;O$17*3&amp;"A)")</f>
        <v/>
      </c>
      <c r="P27" s="449"/>
      <c r="Q27" s="449"/>
      <c r="R27" s="450"/>
      <c r="S27" s="448" t="str">
        <f>IF(S$17="","","("&amp;S$17*3&amp;"A)")</f>
        <v/>
      </c>
      <c r="T27" s="449"/>
      <c r="U27" s="449"/>
      <c r="V27" s="450"/>
      <c r="W27" s="448" t="str">
        <f>IF(W$17="","","("&amp;W$17*2&amp;"A)")</f>
        <v>(7A)</v>
      </c>
      <c r="X27" s="449"/>
      <c r="Y27" s="449"/>
      <c r="Z27" s="450"/>
      <c r="AA27" s="448" t="str">
        <f>IF(AA$17="","","("&amp;AA$17*3&amp;"A)")</f>
        <v/>
      </c>
      <c r="AB27" s="449"/>
      <c r="AC27" s="449"/>
      <c r="AD27" s="450"/>
      <c r="AE27" s="448" t="str">
        <f>IF(AE$17="","","("&amp;AE$17*3&amp;"A)")</f>
        <v/>
      </c>
      <c r="AF27" s="449"/>
      <c r="AG27" s="449"/>
      <c r="AH27" s="450"/>
    </row>
    <row r="28" spans="1:34" ht="15" customHeight="1" x14ac:dyDescent="0.15">
      <c r="A28" s="595" t="s">
        <v>241</v>
      </c>
      <c r="B28" s="596"/>
      <c r="C28" s="597"/>
      <c r="D28" s="466"/>
      <c r="E28" s="467"/>
      <c r="F28" s="467"/>
      <c r="G28" s="467"/>
      <c r="H28" s="467"/>
      <c r="I28" s="467"/>
      <c r="J28" s="468"/>
      <c r="K28" s="454"/>
      <c r="L28" s="455"/>
      <c r="M28" s="455"/>
      <c r="N28" s="456"/>
      <c r="O28" s="454"/>
      <c r="P28" s="455"/>
      <c r="Q28" s="455"/>
      <c r="R28" s="456"/>
      <c r="S28" s="454"/>
      <c r="T28" s="455"/>
      <c r="U28" s="455"/>
      <c r="V28" s="456"/>
      <c r="W28" s="454"/>
      <c r="X28" s="455"/>
      <c r="Y28" s="455"/>
      <c r="Z28" s="456"/>
      <c r="AA28" s="454"/>
      <c r="AB28" s="455"/>
      <c r="AC28" s="455"/>
      <c r="AD28" s="456"/>
      <c r="AE28" s="454"/>
      <c r="AF28" s="455"/>
      <c r="AG28" s="455"/>
      <c r="AH28" s="456"/>
    </row>
    <row r="29" spans="1:34" ht="15" customHeight="1" x14ac:dyDescent="0.15">
      <c r="A29" s="595" t="s">
        <v>238</v>
      </c>
      <c r="B29" s="596"/>
      <c r="C29" s="597"/>
      <c r="D29" s="463" t="s">
        <v>242</v>
      </c>
      <c r="E29" s="464"/>
      <c r="F29" s="464"/>
      <c r="G29" s="464"/>
      <c r="H29" s="464"/>
      <c r="I29" s="464"/>
      <c r="J29" s="465"/>
      <c r="K29" s="448" t="str">
        <f>IF(K$17="","","("&amp;K$17*3&amp;"A)")</f>
        <v>(10.5A)</v>
      </c>
      <c r="L29" s="449"/>
      <c r="M29" s="449"/>
      <c r="N29" s="450"/>
      <c r="O29" s="448" t="str">
        <f>IF(O$17="","","("&amp;O$17*5&amp;"A)")</f>
        <v/>
      </c>
      <c r="P29" s="449"/>
      <c r="Q29" s="449"/>
      <c r="R29" s="450"/>
      <c r="S29" s="448" t="str">
        <f>IF(S$17="","","("&amp;S$17*5&amp;"A)")</f>
        <v/>
      </c>
      <c r="T29" s="449"/>
      <c r="U29" s="449"/>
      <c r="V29" s="450"/>
      <c r="W29" s="448" t="str">
        <f>IF(W$17="","","("&amp;W$17*3&amp;"A)")</f>
        <v>(10.5A)</v>
      </c>
      <c r="X29" s="449"/>
      <c r="Y29" s="449"/>
      <c r="Z29" s="450"/>
      <c r="AA29" s="448" t="str">
        <f>IF(AA$17="","","("&amp;AA$17*5&amp;"A)")</f>
        <v/>
      </c>
      <c r="AB29" s="449"/>
      <c r="AC29" s="449"/>
      <c r="AD29" s="450"/>
      <c r="AE29" s="448" t="str">
        <f>IF(AE$17="","","("&amp;AE$17*5&amp;"A)")</f>
        <v/>
      </c>
      <c r="AF29" s="449"/>
      <c r="AG29" s="449"/>
      <c r="AH29" s="450"/>
    </row>
    <row r="30" spans="1:34" ht="15" customHeight="1" x14ac:dyDescent="0.15">
      <c r="A30" s="595" t="s">
        <v>243</v>
      </c>
      <c r="B30" s="596"/>
      <c r="C30" s="597"/>
      <c r="D30" s="466"/>
      <c r="E30" s="467"/>
      <c r="F30" s="467"/>
      <c r="G30" s="467"/>
      <c r="H30" s="467"/>
      <c r="I30" s="467"/>
      <c r="J30" s="468"/>
      <c r="K30" s="598">
        <v>0.65300000000000002</v>
      </c>
      <c r="L30" s="599"/>
      <c r="M30" s="599"/>
      <c r="N30" s="600"/>
      <c r="O30" s="601" t="s">
        <v>353</v>
      </c>
      <c r="P30" s="602"/>
      <c r="Q30" s="602"/>
      <c r="R30" s="603"/>
      <c r="S30" s="601">
        <v>0.71099999999999997</v>
      </c>
      <c r="T30" s="602"/>
      <c r="U30" s="602"/>
      <c r="V30" s="603"/>
      <c r="W30" s="598">
        <v>0.65400000000000003</v>
      </c>
      <c r="X30" s="599"/>
      <c r="Y30" s="599"/>
      <c r="Z30" s="600"/>
      <c r="AA30" s="601" t="s">
        <v>353</v>
      </c>
      <c r="AB30" s="602"/>
      <c r="AC30" s="602"/>
      <c r="AD30" s="603"/>
      <c r="AE30" s="601">
        <v>0.71099999999999997</v>
      </c>
      <c r="AF30" s="602"/>
      <c r="AG30" s="602"/>
      <c r="AH30" s="603"/>
    </row>
    <row r="31" spans="1:34" ht="15" customHeight="1" x14ac:dyDescent="0.15">
      <c r="A31" s="595"/>
      <c r="B31" s="596"/>
      <c r="C31" s="597"/>
      <c r="D31" s="463" t="s">
        <v>244</v>
      </c>
      <c r="E31" s="464"/>
      <c r="F31" s="464"/>
      <c r="G31" s="464"/>
      <c r="H31" s="464"/>
      <c r="I31" s="464"/>
      <c r="J31" s="465"/>
      <c r="K31" s="448" t="str">
        <f>IF(K$17="","","("&amp;K$17*5&amp;"A)")</f>
        <v>(17.5A)</v>
      </c>
      <c r="L31" s="449"/>
      <c r="M31" s="449"/>
      <c r="N31" s="450"/>
      <c r="O31" s="448" t="str">
        <f>IF(O$17="","","("&amp;O$17*7&amp;"A)")</f>
        <v/>
      </c>
      <c r="P31" s="449"/>
      <c r="Q31" s="449"/>
      <c r="R31" s="450"/>
      <c r="S31" s="448" t="str">
        <f>IF(S$17="","","("&amp;S$17*7&amp;"A)")</f>
        <v/>
      </c>
      <c r="T31" s="449"/>
      <c r="U31" s="449"/>
      <c r="V31" s="450"/>
      <c r="W31" s="448" t="str">
        <f>IF(W$17="","","("&amp;W$17*5&amp;"A)")</f>
        <v>(17.5A)</v>
      </c>
      <c r="X31" s="449"/>
      <c r="Y31" s="449"/>
      <c r="Z31" s="450"/>
      <c r="AA31" s="448" t="str">
        <f>IF(AA$17="","","("&amp;AA$17*7&amp;"A)")</f>
        <v/>
      </c>
      <c r="AB31" s="449"/>
      <c r="AC31" s="449"/>
      <c r="AD31" s="450"/>
      <c r="AE31" s="448" t="str">
        <f>IF(AE$17="","","("&amp;AE$17*7&amp;"A)")</f>
        <v/>
      </c>
      <c r="AF31" s="449"/>
      <c r="AG31" s="449"/>
      <c r="AH31" s="450"/>
    </row>
    <row r="32" spans="1:34" ht="15" customHeight="1" x14ac:dyDescent="0.15">
      <c r="A32" s="438" t="s">
        <v>204</v>
      </c>
      <c r="B32" s="439"/>
      <c r="C32" s="440"/>
      <c r="D32" s="466"/>
      <c r="E32" s="467"/>
      <c r="F32" s="467"/>
      <c r="G32" s="467"/>
      <c r="H32" s="467"/>
      <c r="I32" s="467"/>
      <c r="J32" s="468"/>
      <c r="K32" s="592" t="s">
        <v>359</v>
      </c>
      <c r="L32" s="593"/>
      <c r="M32" s="593"/>
      <c r="N32" s="594"/>
      <c r="O32" s="451"/>
      <c r="P32" s="452"/>
      <c r="Q32" s="452"/>
      <c r="R32" s="453"/>
      <c r="S32" s="451"/>
      <c r="T32" s="452"/>
      <c r="U32" s="452"/>
      <c r="V32" s="453"/>
      <c r="W32" s="592" t="s">
        <v>359</v>
      </c>
      <c r="X32" s="593"/>
      <c r="Y32" s="593"/>
      <c r="Z32" s="594"/>
      <c r="AA32" s="451"/>
      <c r="AB32" s="452"/>
      <c r="AC32" s="452"/>
      <c r="AD32" s="453"/>
      <c r="AE32" s="451"/>
      <c r="AF32" s="452"/>
      <c r="AG32" s="452"/>
      <c r="AH32" s="453"/>
    </row>
    <row r="33" spans="1:34" ht="15" customHeight="1" x14ac:dyDescent="0.15">
      <c r="A33" s="421" t="s">
        <v>245</v>
      </c>
      <c r="B33" s="422"/>
      <c r="C33" s="422"/>
      <c r="D33" s="422"/>
      <c r="E33" s="422"/>
      <c r="F33" s="422"/>
      <c r="G33" s="422"/>
      <c r="H33" s="422"/>
      <c r="I33" s="422" t="s">
        <v>232</v>
      </c>
      <c r="J33" s="317"/>
      <c r="K33" s="583">
        <v>19.5</v>
      </c>
      <c r="L33" s="584"/>
      <c r="M33" s="584"/>
      <c r="N33" s="585"/>
      <c r="O33" s="589"/>
      <c r="P33" s="590"/>
      <c r="Q33" s="590"/>
      <c r="R33" s="591"/>
      <c r="S33" s="589"/>
      <c r="T33" s="590"/>
      <c r="U33" s="590"/>
      <c r="V33" s="591"/>
      <c r="W33" s="583">
        <v>19.5</v>
      </c>
      <c r="X33" s="584"/>
      <c r="Y33" s="584"/>
      <c r="Z33" s="585"/>
      <c r="AA33" s="487"/>
      <c r="AB33" s="488"/>
      <c r="AC33" s="488"/>
      <c r="AD33" s="489"/>
      <c r="AE33" s="487"/>
      <c r="AF33" s="488"/>
      <c r="AG33" s="488"/>
      <c r="AH33" s="489"/>
    </row>
    <row r="34" spans="1:34" ht="15" customHeight="1" x14ac:dyDescent="0.15">
      <c r="A34" s="359"/>
      <c r="B34" s="360"/>
      <c r="C34" s="360"/>
      <c r="D34" s="360"/>
      <c r="E34" s="360"/>
      <c r="F34" s="360"/>
      <c r="G34" s="360"/>
      <c r="H34" s="360"/>
      <c r="I34" s="360"/>
      <c r="J34" s="321"/>
      <c r="K34" s="586"/>
      <c r="L34" s="587"/>
      <c r="M34" s="587"/>
      <c r="N34" s="588"/>
      <c r="O34" s="571"/>
      <c r="P34" s="572"/>
      <c r="Q34" s="572"/>
      <c r="R34" s="573"/>
      <c r="S34" s="574"/>
      <c r="T34" s="575"/>
      <c r="U34" s="575"/>
      <c r="V34" s="576"/>
      <c r="W34" s="586"/>
      <c r="X34" s="587"/>
      <c r="Y34" s="587"/>
      <c r="Z34" s="588"/>
      <c r="AA34" s="577"/>
      <c r="AB34" s="578"/>
      <c r="AC34" s="578"/>
      <c r="AD34" s="579"/>
      <c r="AE34" s="580"/>
      <c r="AF34" s="581"/>
      <c r="AG34" s="581"/>
      <c r="AH34" s="582"/>
    </row>
    <row r="35" spans="1:34" ht="15" customHeight="1" x14ac:dyDescent="0.15">
      <c r="A35" s="435"/>
      <c r="B35" s="436"/>
      <c r="C35" s="436"/>
      <c r="D35" s="436"/>
      <c r="E35" s="436"/>
      <c r="F35" s="436"/>
      <c r="G35" s="436"/>
      <c r="H35" s="436"/>
      <c r="I35" s="436"/>
      <c r="J35" s="437"/>
      <c r="K35" s="442"/>
      <c r="L35" s="443"/>
      <c r="M35" s="443"/>
      <c r="N35" s="444"/>
      <c r="O35" s="442"/>
      <c r="P35" s="443"/>
      <c r="Q35" s="443"/>
      <c r="R35" s="444"/>
      <c r="S35" s="429"/>
      <c r="T35" s="430"/>
      <c r="U35" s="430"/>
      <c r="V35" s="431"/>
      <c r="W35" s="442"/>
      <c r="X35" s="443"/>
      <c r="Y35" s="443"/>
      <c r="Z35" s="444"/>
      <c r="AA35" s="442"/>
      <c r="AB35" s="443"/>
      <c r="AC35" s="443"/>
      <c r="AD35" s="444"/>
      <c r="AE35" s="429"/>
      <c r="AF35" s="430"/>
      <c r="AG35" s="430"/>
      <c r="AH35" s="431"/>
    </row>
    <row r="36" spans="1:34" ht="15" customHeight="1" x14ac:dyDescent="0.15">
      <c r="A36" s="438"/>
      <c r="B36" s="439"/>
      <c r="C36" s="439"/>
      <c r="D36" s="439"/>
      <c r="E36" s="439"/>
      <c r="F36" s="439"/>
      <c r="G36" s="439"/>
      <c r="H36" s="439"/>
      <c r="I36" s="439"/>
      <c r="J36" s="440"/>
      <c r="K36" s="445"/>
      <c r="L36" s="446"/>
      <c r="M36" s="446"/>
      <c r="N36" s="447"/>
      <c r="O36" s="445"/>
      <c r="P36" s="446"/>
      <c r="Q36" s="446"/>
      <c r="R36" s="447"/>
      <c r="S36" s="432"/>
      <c r="T36" s="433"/>
      <c r="U36" s="433"/>
      <c r="V36" s="434"/>
      <c r="W36" s="445"/>
      <c r="X36" s="446"/>
      <c r="Y36" s="446"/>
      <c r="Z36" s="447"/>
      <c r="AA36" s="445"/>
      <c r="AB36" s="446"/>
      <c r="AC36" s="446"/>
      <c r="AD36" s="447"/>
      <c r="AE36" s="432"/>
      <c r="AF36" s="433"/>
      <c r="AG36" s="433"/>
      <c r="AH36" s="434"/>
    </row>
    <row r="37" spans="1:34" ht="15" customHeight="1" x14ac:dyDescent="0.15">
      <c r="A37" s="435" t="s">
        <v>246</v>
      </c>
      <c r="B37" s="436"/>
      <c r="C37" s="436"/>
      <c r="D37" s="436"/>
      <c r="E37" s="436"/>
      <c r="F37" s="436"/>
      <c r="G37" s="436"/>
      <c r="H37" s="436"/>
      <c r="I37" s="422" t="s">
        <v>204</v>
      </c>
      <c r="J37" s="317"/>
      <c r="K37" s="551">
        <v>5.8000000000000003E-2</v>
      </c>
      <c r="L37" s="552"/>
      <c r="M37" s="552"/>
      <c r="N37" s="553"/>
      <c r="O37" s="557" t="str">
        <f>IF(O$17="","","("&amp;O$17*3&amp;"A)")</f>
        <v/>
      </c>
      <c r="P37" s="558"/>
      <c r="Q37" s="558"/>
      <c r="R37" s="559"/>
      <c r="S37" s="557" t="str">
        <f>IF(S$17="","","("&amp;S$17*3&amp;"A)")</f>
        <v/>
      </c>
      <c r="T37" s="558"/>
      <c r="U37" s="558"/>
      <c r="V37" s="559"/>
      <c r="W37" s="551">
        <v>5.3999999999999999E-2</v>
      </c>
      <c r="X37" s="552"/>
      <c r="Y37" s="552"/>
      <c r="Z37" s="553"/>
      <c r="AA37" s="560" t="str">
        <f>IF(AA$17="","","("&amp;AA$17*3&amp;"A)")</f>
        <v/>
      </c>
      <c r="AB37" s="561"/>
      <c r="AC37" s="561"/>
      <c r="AD37" s="562"/>
      <c r="AE37" s="560" t="str">
        <f>IF(AE$17="","","("&amp;AE$17*3&amp;"A)")</f>
        <v/>
      </c>
      <c r="AF37" s="561"/>
      <c r="AG37" s="561"/>
      <c r="AH37" s="562"/>
    </row>
    <row r="38" spans="1:34" ht="15" customHeight="1" x14ac:dyDescent="0.15">
      <c r="A38" s="438" t="s">
        <v>240</v>
      </c>
      <c r="B38" s="439"/>
      <c r="C38" s="439"/>
      <c r="D38" s="439"/>
      <c r="E38" s="439"/>
      <c r="F38" s="439"/>
      <c r="G38" s="439"/>
      <c r="H38" s="439"/>
      <c r="I38" s="360"/>
      <c r="J38" s="321"/>
      <c r="K38" s="554"/>
      <c r="L38" s="555"/>
      <c r="M38" s="555"/>
      <c r="N38" s="556"/>
      <c r="O38" s="563"/>
      <c r="P38" s="564"/>
      <c r="Q38" s="564"/>
      <c r="R38" s="565"/>
      <c r="S38" s="566"/>
      <c r="T38" s="564"/>
      <c r="U38" s="564"/>
      <c r="V38" s="565"/>
      <c r="W38" s="554"/>
      <c r="X38" s="555"/>
      <c r="Y38" s="555"/>
      <c r="Z38" s="556"/>
      <c r="AA38" s="567"/>
      <c r="AB38" s="568"/>
      <c r="AC38" s="568"/>
      <c r="AD38" s="569"/>
      <c r="AE38" s="570"/>
      <c r="AF38" s="568"/>
      <c r="AG38" s="568"/>
      <c r="AH38" s="569"/>
    </row>
    <row r="39" spans="1:34" ht="15" customHeight="1" x14ac:dyDescent="0.15">
      <c r="A39" s="414" t="s">
        <v>210</v>
      </c>
      <c r="B39" s="415"/>
      <c r="C39" s="415"/>
      <c r="D39" s="415"/>
      <c r="E39" s="415"/>
      <c r="F39" s="415"/>
      <c r="G39" s="415"/>
      <c r="H39" s="415"/>
      <c r="I39" s="415"/>
      <c r="J39" s="416"/>
      <c r="K39" s="417" t="s">
        <v>215</v>
      </c>
      <c r="L39" s="418"/>
      <c r="M39" s="418"/>
      <c r="N39" s="419"/>
      <c r="O39" s="417"/>
      <c r="P39" s="418"/>
      <c r="Q39" s="418"/>
      <c r="R39" s="419"/>
      <c r="S39" s="417"/>
      <c r="T39" s="418"/>
      <c r="U39" s="418"/>
      <c r="V39" s="419"/>
      <c r="W39" s="417" t="s">
        <v>215</v>
      </c>
      <c r="X39" s="418"/>
      <c r="Y39" s="418"/>
      <c r="Z39" s="419"/>
      <c r="AA39" s="414"/>
      <c r="AB39" s="415"/>
      <c r="AC39" s="415"/>
      <c r="AD39" s="416"/>
      <c r="AE39" s="414"/>
      <c r="AF39" s="415"/>
      <c r="AG39" s="415"/>
      <c r="AH39" s="416"/>
    </row>
    <row r="40" spans="1:34" ht="15" customHeight="1" x14ac:dyDescent="0.15">
      <c r="A40" s="414" t="s">
        <v>212</v>
      </c>
      <c r="B40" s="415"/>
      <c r="C40" s="415"/>
      <c r="D40" s="415"/>
      <c r="E40" s="415"/>
      <c r="F40" s="415"/>
      <c r="G40" s="415"/>
      <c r="H40" s="415"/>
      <c r="I40" s="415"/>
      <c r="J40" s="416"/>
      <c r="K40" s="417" t="s">
        <v>213</v>
      </c>
      <c r="L40" s="418"/>
      <c r="M40" s="418"/>
      <c r="N40" s="419"/>
      <c r="O40" s="417"/>
      <c r="P40" s="418"/>
      <c r="Q40" s="418"/>
      <c r="R40" s="419"/>
      <c r="S40" s="417"/>
      <c r="T40" s="418"/>
      <c r="U40" s="418"/>
      <c r="V40" s="419"/>
      <c r="W40" s="417" t="s">
        <v>213</v>
      </c>
      <c r="X40" s="418"/>
      <c r="Y40" s="418"/>
      <c r="Z40" s="419"/>
      <c r="AA40" s="414"/>
      <c r="AB40" s="415"/>
      <c r="AC40" s="415"/>
      <c r="AD40" s="416"/>
      <c r="AE40" s="414"/>
      <c r="AF40" s="415"/>
      <c r="AG40" s="415"/>
      <c r="AH40" s="416"/>
    </row>
    <row r="41" spans="1:34" ht="15" customHeight="1" x14ac:dyDescent="0.15">
      <c r="A41" s="421" t="s">
        <v>214</v>
      </c>
      <c r="B41" s="422"/>
      <c r="C41" s="422"/>
      <c r="D41" s="422"/>
      <c r="E41" s="422"/>
      <c r="F41" s="422"/>
      <c r="G41" s="422"/>
      <c r="H41" s="422"/>
      <c r="I41" s="422"/>
      <c r="J41" s="317"/>
      <c r="K41" s="423" t="s">
        <v>215</v>
      </c>
      <c r="L41" s="424"/>
      <c r="M41" s="424"/>
      <c r="N41" s="425"/>
      <c r="O41" s="423"/>
      <c r="P41" s="424"/>
      <c r="Q41" s="424"/>
      <c r="R41" s="425"/>
      <c r="S41" s="423"/>
      <c r="T41" s="424"/>
      <c r="U41" s="424"/>
      <c r="V41" s="425"/>
      <c r="W41" s="423" t="s">
        <v>215</v>
      </c>
      <c r="X41" s="424"/>
      <c r="Y41" s="424"/>
      <c r="Z41" s="425"/>
      <c r="AA41" s="421"/>
      <c r="AB41" s="422"/>
      <c r="AC41" s="422"/>
      <c r="AD41" s="317"/>
      <c r="AE41" s="421"/>
      <c r="AF41" s="422"/>
      <c r="AG41" s="422"/>
      <c r="AH41" s="317"/>
    </row>
    <row r="42" spans="1:34" ht="15" customHeight="1" x14ac:dyDescent="0.15">
      <c r="A42" s="359"/>
      <c r="B42" s="360"/>
      <c r="C42" s="360"/>
      <c r="D42" s="360"/>
      <c r="E42" s="360"/>
      <c r="F42" s="360"/>
      <c r="G42" s="360"/>
      <c r="H42" s="360"/>
      <c r="I42" s="360"/>
      <c r="J42" s="321"/>
      <c r="K42" s="426"/>
      <c r="L42" s="427"/>
      <c r="M42" s="427"/>
      <c r="N42" s="428"/>
      <c r="O42" s="426"/>
      <c r="P42" s="427"/>
      <c r="Q42" s="427"/>
      <c r="R42" s="428"/>
      <c r="S42" s="426"/>
      <c r="T42" s="427"/>
      <c r="U42" s="427"/>
      <c r="V42" s="428"/>
      <c r="W42" s="426"/>
      <c r="X42" s="427"/>
      <c r="Y42" s="427"/>
      <c r="Z42" s="428"/>
      <c r="AA42" s="359"/>
      <c r="AB42" s="360"/>
      <c r="AC42" s="360"/>
      <c r="AD42" s="321"/>
      <c r="AE42" s="359"/>
      <c r="AF42" s="360"/>
      <c r="AG42" s="360"/>
      <c r="AH42" s="321"/>
    </row>
    <row r="43" spans="1:34" ht="12" customHeight="1" x14ac:dyDescent="0.15">
      <c r="A43" s="75"/>
      <c r="B43" s="75"/>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row>
    <row r="44" spans="1:34" ht="15" customHeight="1" x14ac:dyDescent="0.15">
      <c r="A44" s="128" t="s">
        <v>216</v>
      </c>
      <c r="B44" s="129"/>
      <c r="C44" s="129"/>
      <c r="D44" s="129"/>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c r="AH44" s="130"/>
    </row>
    <row r="45" spans="1:34" ht="15" customHeight="1" x14ac:dyDescent="0.15">
      <c r="A45" s="131"/>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132"/>
    </row>
    <row r="46" spans="1:34" ht="15" customHeight="1" x14ac:dyDescent="0.15">
      <c r="A46" s="131"/>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132"/>
    </row>
    <row r="47" spans="1:34" ht="19.5" customHeight="1" x14ac:dyDescent="0.15">
      <c r="A47" s="131"/>
      <c r="B47" s="75"/>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132"/>
    </row>
    <row r="48" spans="1:34" ht="13.5" x14ac:dyDescent="0.15">
      <c r="A48" s="550"/>
      <c r="B48" s="550"/>
      <c r="C48" s="550"/>
      <c r="D48" s="550"/>
      <c r="E48" s="550"/>
      <c r="F48" s="550"/>
      <c r="G48" s="550"/>
      <c r="H48" s="550"/>
      <c r="I48" s="550"/>
      <c r="J48" s="550"/>
      <c r="K48" s="550"/>
      <c r="L48" s="550"/>
      <c r="M48" s="550"/>
      <c r="N48" s="550"/>
      <c r="O48" s="550"/>
      <c r="P48" s="550"/>
      <c r="Q48" s="550"/>
      <c r="R48" s="550"/>
      <c r="S48" s="550"/>
      <c r="T48" s="550"/>
      <c r="U48" s="550"/>
      <c r="V48" s="550"/>
      <c r="W48" s="550"/>
      <c r="X48" s="550"/>
      <c r="Y48" s="550"/>
      <c r="Z48" s="550"/>
      <c r="AA48" s="550"/>
      <c r="AB48" s="550"/>
      <c r="AC48" s="550"/>
      <c r="AD48" s="550"/>
      <c r="AE48" s="550"/>
      <c r="AF48" s="550"/>
      <c r="AG48" s="550"/>
      <c r="AH48" s="550"/>
    </row>
  </sheetData>
  <mergeCells count="199">
    <mergeCell ref="A2:AH2"/>
    <mergeCell ref="W3:AH3"/>
    <mergeCell ref="W4:AH4"/>
    <mergeCell ref="A5:J7"/>
    <mergeCell ref="K5:AH7"/>
    <mergeCell ref="A8:J8"/>
    <mergeCell ref="K8:V8"/>
    <mergeCell ref="W8:AH8"/>
    <mergeCell ref="A11:J11"/>
    <mergeCell ref="K11:V11"/>
    <mergeCell ref="W11:AH11"/>
    <mergeCell ref="A12:J12"/>
    <mergeCell ref="K12:V12"/>
    <mergeCell ref="W12:AH12"/>
    <mergeCell ref="A9:J9"/>
    <mergeCell ref="K9:V9"/>
    <mergeCell ref="W9:AH9"/>
    <mergeCell ref="A10:J10"/>
    <mergeCell ref="K10:V10"/>
    <mergeCell ref="W10:AH10"/>
    <mergeCell ref="A13:J13"/>
    <mergeCell ref="K13:V13"/>
    <mergeCell ref="W13:AH13"/>
    <mergeCell ref="A14:J14"/>
    <mergeCell ref="K14:N14"/>
    <mergeCell ref="O14:R14"/>
    <mergeCell ref="S14:V14"/>
    <mergeCell ref="W14:Z14"/>
    <mergeCell ref="AA14:AD14"/>
    <mergeCell ref="AE14:AH14"/>
    <mergeCell ref="AE15:AH16"/>
    <mergeCell ref="A17:C20"/>
    <mergeCell ref="D17:H17"/>
    <mergeCell ref="I17:J17"/>
    <mergeCell ref="K17:N17"/>
    <mergeCell ref="O17:R17"/>
    <mergeCell ref="S17:V17"/>
    <mergeCell ref="W17:Z17"/>
    <mergeCell ref="AA17:AD17"/>
    <mergeCell ref="AE17:AH17"/>
    <mergeCell ref="A15:J16"/>
    <mergeCell ref="K15:N16"/>
    <mergeCell ref="O15:R16"/>
    <mergeCell ref="S15:V16"/>
    <mergeCell ref="W15:Z16"/>
    <mergeCell ref="AA15:AD16"/>
    <mergeCell ref="AA18:AD18"/>
    <mergeCell ref="AE18:AH18"/>
    <mergeCell ref="D19:H19"/>
    <mergeCell ref="I19:J19"/>
    <mergeCell ref="K19:N19"/>
    <mergeCell ref="O19:R19"/>
    <mergeCell ref="S19:V19"/>
    <mergeCell ref="W19:Z19"/>
    <mergeCell ref="AA19:AD19"/>
    <mergeCell ref="AE19:AH19"/>
    <mergeCell ref="D18:H18"/>
    <mergeCell ref="I18:J18"/>
    <mergeCell ref="K18:N18"/>
    <mergeCell ref="O18:R18"/>
    <mergeCell ref="S18:V18"/>
    <mergeCell ref="W18:Z18"/>
    <mergeCell ref="AA20:AD20"/>
    <mergeCell ref="AE20:AH20"/>
    <mergeCell ref="A21:J22"/>
    <mergeCell ref="K21:N22"/>
    <mergeCell ref="O21:R22"/>
    <mergeCell ref="S21:V22"/>
    <mergeCell ref="W21:Z22"/>
    <mergeCell ref="AA21:AD22"/>
    <mergeCell ref="AE21:AH22"/>
    <mergeCell ref="D20:H20"/>
    <mergeCell ref="I20:J20"/>
    <mergeCell ref="K20:N20"/>
    <mergeCell ref="O20:R20"/>
    <mergeCell ref="S20:V20"/>
    <mergeCell ref="W20:Z20"/>
    <mergeCell ref="AA23:AD24"/>
    <mergeCell ref="AE23:AH24"/>
    <mergeCell ref="A25:C25"/>
    <mergeCell ref="D25:J26"/>
    <mergeCell ref="K25:N25"/>
    <mergeCell ref="O25:R25"/>
    <mergeCell ref="S25:V25"/>
    <mergeCell ref="W25:Z25"/>
    <mergeCell ref="AA25:AD25"/>
    <mergeCell ref="AE25:AH25"/>
    <mergeCell ref="A23:H24"/>
    <mergeCell ref="I23:J24"/>
    <mergeCell ref="K23:N24"/>
    <mergeCell ref="O23:R24"/>
    <mergeCell ref="S23:V24"/>
    <mergeCell ref="W23:Z24"/>
    <mergeCell ref="K28:N28"/>
    <mergeCell ref="O28:R28"/>
    <mergeCell ref="S28:V28"/>
    <mergeCell ref="W28:Z28"/>
    <mergeCell ref="AA28:AD28"/>
    <mergeCell ref="AE28:AH28"/>
    <mergeCell ref="AE26:AH26"/>
    <mergeCell ref="A27:C27"/>
    <mergeCell ref="D27:J28"/>
    <mergeCell ref="K27:N27"/>
    <mergeCell ref="O27:R27"/>
    <mergeCell ref="S27:V27"/>
    <mergeCell ref="W27:Z27"/>
    <mergeCell ref="AA27:AD27"/>
    <mergeCell ref="AE27:AH27"/>
    <mergeCell ref="A28:C28"/>
    <mergeCell ref="A26:C26"/>
    <mergeCell ref="K26:N26"/>
    <mergeCell ref="O26:R26"/>
    <mergeCell ref="S26:V26"/>
    <mergeCell ref="W26:Z26"/>
    <mergeCell ref="AA26:AD26"/>
    <mergeCell ref="AA29:AD29"/>
    <mergeCell ref="AE29:AH29"/>
    <mergeCell ref="A30:C30"/>
    <mergeCell ref="K30:N30"/>
    <mergeCell ref="O30:R30"/>
    <mergeCell ref="S30:V30"/>
    <mergeCell ref="W30:Z30"/>
    <mergeCell ref="AA30:AD30"/>
    <mergeCell ref="AE30:AH30"/>
    <mergeCell ref="A29:C29"/>
    <mergeCell ref="D29:J30"/>
    <mergeCell ref="K29:N29"/>
    <mergeCell ref="O29:R29"/>
    <mergeCell ref="S29:V29"/>
    <mergeCell ref="W29:Z29"/>
    <mergeCell ref="AA31:AD31"/>
    <mergeCell ref="AE31:AH31"/>
    <mergeCell ref="A32:C32"/>
    <mergeCell ref="K32:N32"/>
    <mergeCell ref="O32:R32"/>
    <mergeCell ref="S32:V32"/>
    <mergeCell ref="W32:Z32"/>
    <mergeCell ref="AA32:AD32"/>
    <mergeCell ref="AE32:AH32"/>
    <mergeCell ref="A31:C31"/>
    <mergeCell ref="D31:J32"/>
    <mergeCell ref="K31:N31"/>
    <mergeCell ref="O31:R31"/>
    <mergeCell ref="S31:V31"/>
    <mergeCell ref="W31:Z31"/>
    <mergeCell ref="AA33:AD33"/>
    <mergeCell ref="AE33:AH33"/>
    <mergeCell ref="O34:R34"/>
    <mergeCell ref="S34:V34"/>
    <mergeCell ref="AA34:AD34"/>
    <mergeCell ref="AE34:AH34"/>
    <mergeCell ref="A33:H34"/>
    <mergeCell ref="I33:J34"/>
    <mergeCell ref="K33:N34"/>
    <mergeCell ref="O33:R33"/>
    <mergeCell ref="S33:V33"/>
    <mergeCell ref="W33:Z34"/>
    <mergeCell ref="AE35:AH36"/>
    <mergeCell ref="A37:H37"/>
    <mergeCell ref="I37:J38"/>
    <mergeCell ref="K37:N38"/>
    <mergeCell ref="O37:R37"/>
    <mergeCell ref="S37:V37"/>
    <mergeCell ref="W37:Z38"/>
    <mergeCell ref="AA37:AD37"/>
    <mergeCell ref="AE37:AH37"/>
    <mergeCell ref="A38:H38"/>
    <mergeCell ref="A35:J36"/>
    <mergeCell ref="K35:N36"/>
    <mergeCell ref="O35:R36"/>
    <mergeCell ref="S35:V36"/>
    <mergeCell ref="W35:Z36"/>
    <mergeCell ref="AA35:AD36"/>
    <mergeCell ref="O38:R38"/>
    <mergeCell ref="S38:V38"/>
    <mergeCell ref="AA38:AD38"/>
    <mergeCell ref="AE38:AH38"/>
    <mergeCell ref="A39:J39"/>
    <mergeCell ref="K39:N39"/>
    <mergeCell ref="O39:R39"/>
    <mergeCell ref="S39:V39"/>
    <mergeCell ref="W39:Z39"/>
    <mergeCell ref="AA39:AD39"/>
    <mergeCell ref="AE41:AH42"/>
    <mergeCell ref="A48:AH48"/>
    <mergeCell ref="A41:J42"/>
    <mergeCell ref="K41:N42"/>
    <mergeCell ref="O41:R42"/>
    <mergeCell ref="S41:V42"/>
    <mergeCell ref="W41:Z42"/>
    <mergeCell ref="AA41:AD42"/>
    <mergeCell ref="AE39:AH39"/>
    <mergeCell ref="A40:J40"/>
    <mergeCell ref="K40:N40"/>
    <mergeCell ref="O40:R40"/>
    <mergeCell ref="S40:V40"/>
    <mergeCell ref="W40:Z40"/>
    <mergeCell ref="AA40:AD40"/>
    <mergeCell ref="AE40:AH40"/>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4:AQ104"/>
  <sheetViews>
    <sheetView tabSelected="1" view="pageBreakPreview" topLeftCell="A17" zoomScale="145" zoomScaleNormal="100" zoomScaleSheetLayoutView="145" workbookViewId="0">
      <selection activeCell="B33" sqref="B33:G33"/>
    </sheetView>
  </sheetViews>
  <sheetFormatPr defaultColWidth="2.75" defaultRowHeight="12" x14ac:dyDescent="0.15"/>
  <cols>
    <col min="1" max="1" width="1.375" style="2" customWidth="1"/>
    <col min="2" max="34" width="2.75" style="2" customWidth="1"/>
    <col min="35" max="16384" width="2.75" style="2"/>
  </cols>
  <sheetData>
    <row r="4" spans="1:34" ht="24.75" customHeight="1" x14ac:dyDescent="0.25">
      <c r="A4" s="353" t="s">
        <v>288</v>
      </c>
      <c r="B4" s="353"/>
      <c r="C4" s="353"/>
      <c r="D4" s="353"/>
      <c r="E4" s="353"/>
      <c r="F4" s="353"/>
      <c r="G4" s="353"/>
      <c r="H4" s="353"/>
      <c r="I4" s="353"/>
      <c r="J4" s="353"/>
      <c r="K4" s="353"/>
      <c r="L4" s="353"/>
      <c r="M4" s="353"/>
      <c r="N4" s="353"/>
      <c r="O4" s="353"/>
      <c r="P4" s="353"/>
      <c r="Q4" s="353"/>
      <c r="R4" s="353"/>
      <c r="S4" s="353"/>
      <c r="T4" s="353"/>
      <c r="U4" s="353"/>
      <c r="V4" s="353"/>
      <c r="W4" s="353"/>
      <c r="X4" s="353"/>
      <c r="Y4" s="353"/>
      <c r="Z4" s="353"/>
      <c r="AA4" s="353"/>
      <c r="AB4" s="353"/>
      <c r="AC4" s="353"/>
      <c r="AD4" s="353"/>
      <c r="AE4" s="353"/>
      <c r="AF4" s="353"/>
      <c r="AG4" s="353"/>
      <c r="AH4" s="353"/>
    </row>
    <row r="5" spans="1:34" ht="24" customHeight="1" x14ac:dyDescent="0.25">
      <c r="A5" s="149"/>
    </row>
    <row r="6" spans="1:34" ht="15" customHeight="1" x14ac:dyDescent="0.15">
      <c r="U6" s="150"/>
      <c r="W6" s="400"/>
      <c r="X6" s="725"/>
      <c r="Y6" s="725"/>
      <c r="Z6" s="725"/>
      <c r="AA6" s="725"/>
      <c r="AB6" s="725"/>
      <c r="AC6" s="725"/>
      <c r="AD6" s="725"/>
      <c r="AE6" s="725"/>
      <c r="AF6" s="725"/>
      <c r="AG6" s="725"/>
      <c r="AH6" s="725"/>
    </row>
    <row r="7" spans="1:34" ht="15" customHeight="1" x14ac:dyDescent="0.15">
      <c r="W7" s="547"/>
      <c r="X7" s="547"/>
      <c r="Y7" s="547"/>
      <c r="Z7" s="547"/>
      <c r="AA7" s="547"/>
      <c r="AB7" s="547"/>
      <c r="AC7" s="547"/>
      <c r="AD7" s="547"/>
      <c r="AE7" s="547"/>
      <c r="AF7" s="547"/>
      <c r="AG7" s="547"/>
      <c r="AH7" s="547"/>
    </row>
    <row r="8" spans="1:34" s="75" customFormat="1" ht="15" customHeight="1" x14ac:dyDescent="0.15">
      <c r="A8" s="421" t="s">
        <v>188</v>
      </c>
      <c r="B8" s="422"/>
      <c r="C8" s="422"/>
      <c r="D8" s="422"/>
      <c r="E8" s="422"/>
      <c r="F8" s="422"/>
      <c r="G8" s="422"/>
      <c r="H8" s="422"/>
      <c r="I8" s="422"/>
      <c r="J8" s="317"/>
      <c r="K8" s="421" t="s">
        <v>189</v>
      </c>
      <c r="L8" s="422"/>
      <c r="M8" s="422"/>
      <c r="N8" s="422"/>
      <c r="O8" s="422"/>
      <c r="P8" s="422"/>
      <c r="Q8" s="422"/>
      <c r="R8" s="422"/>
      <c r="S8" s="422"/>
      <c r="T8" s="422"/>
      <c r="U8" s="422"/>
      <c r="V8" s="317"/>
      <c r="W8" s="421"/>
      <c r="X8" s="726"/>
      <c r="Y8" s="726"/>
      <c r="Z8" s="726"/>
      <c r="AA8" s="726"/>
      <c r="AB8" s="726"/>
      <c r="AC8" s="726"/>
      <c r="AD8" s="726"/>
      <c r="AE8" s="726"/>
      <c r="AF8" s="726"/>
      <c r="AG8" s="726"/>
      <c r="AH8" s="727"/>
    </row>
    <row r="9" spans="1:34" s="75" customFormat="1" ht="15" customHeight="1" x14ac:dyDescent="0.15">
      <c r="A9" s="548"/>
      <c r="B9" s="549"/>
      <c r="C9" s="549"/>
      <c r="D9" s="549"/>
      <c r="E9" s="549"/>
      <c r="F9" s="549"/>
      <c r="G9" s="549"/>
      <c r="H9" s="549"/>
      <c r="I9" s="549"/>
      <c r="J9" s="319"/>
      <c r="K9" s="548"/>
      <c r="L9" s="549"/>
      <c r="M9" s="549"/>
      <c r="N9" s="549"/>
      <c r="O9" s="549"/>
      <c r="P9" s="549"/>
      <c r="Q9" s="549"/>
      <c r="R9" s="549"/>
      <c r="S9" s="549"/>
      <c r="T9" s="549"/>
      <c r="U9" s="549"/>
      <c r="V9" s="319"/>
      <c r="W9" s="728"/>
      <c r="X9" s="729"/>
      <c r="Y9" s="729"/>
      <c r="Z9" s="729"/>
      <c r="AA9" s="729"/>
      <c r="AB9" s="729"/>
      <c r="AC9" s="729"/>
      <c r="AD9" s="729"/>
      <c r="AE9" s="729"/>
      <c r="AF9" s="729"/>
      <c r="AG9" s="729"/>
      <c r="AH9" s="730"/>
    </row>
    <row r="10" spans="1:34" s="75" customFormat="1" ht="15" customHeight="1" x14ac:dyDescent="0.15">
      <c r="A10" s="359"/>
      <c r="B10" s="360"/>
      <c r="C10" s="360"/>
      <c r="D10" s="360"/>
      <c r="E10" s="360"/>
      <c r="F10" s="360"/>
      <c r="G10" s="360"/>
      <c r="H10" s="360"/>
      <c r="I10" s="360"/>
      <c r="J10" s="321"/>
      <c r="K10" s="359"/>
      <c r="L10" s="360"/>
      <c r="M10" s="360"/>
      <c r="N10" s="360"/>
      <c r="O10" s="360"/>
      <c r="P10" s="360"/>
      <c r="Q10" s="360"/>
      <c r="R10" s="360"/>
      <c r="S10" s="360"/>
      <c r="T10" s="360"/>
      <c r="U10" s="360"/>
      <c r="V10" s="321"/>
      <c r="W10" s="731"/>
      <c r="X10" s="732"/>
      <c r="Y10" s="732"/>
      <c r="Z10" s="732"/>
      <c r="AA10" s="732"/>
      <c r="AB10" s="732"/>
      <c r="AC10" s="732"/>
      <c r="AD10" s="732"/>
      <c r="AE10" s="732"/>
      <c r="AF10" s="732"/>
      <c r="AG10" s="732"/>
      <c r="AH10" s="733"/>
    </row>
    <row r="11" spans="1:34" s="75" customFormat="1" ht="15" customHeight="1" x14ac:dyDescent="0.15">
      <c r="A11" s="527"/>
      <c r="B11" s="528"/>
      <c r="C11" s="528"/>
      <c r="D11" s="528"/>
      <c r="E11" s="528"/>
      <c r="F11" s="528"/>
      <c r="G11" s="528"/>
      <c r="H11" s="528"/>
      <c r="I11" s="528"/>
      <c r="J11" s="544"/>
      <c r="K11" s="527"/>
      <c r="L11" s="528"/>
      <c r="M11" s="528"/>
      <c r="N11" s="528"/>
      <c r="O11" s="528"/>
      <c r="P11" s="528"/>
      <c r="Q11" s="528"/>
      <c r="R11" s="528"/>
      <c r="S11" s="528"/>
      <c r="T11" s="528"/>
      <c r="U11" s="528"/>
      <c r="V11" s="544"/>
      <c r="W11" s="527"/>
      <c r="X11" s="528"/>
      <c r="Y11" s="528"/>
      <c r="Z11" s="528"/>
      <c r="AA11" s="528"/>
      <c r="AB11" s="528"/>
      <c r="AC11" s="528"/>
      <c r="AD11" s="528"/>
      <c r="AE11" s="528"/>
      <c r="AF11" s="528"/>
      <c r="AG11" s="528"/>
      <c r="AH11" s="544"/>
    </row>
    <row r="12" spans="1:34" s="75" customFormat="1" ht="15" customHeight="1" x14ac:dyDescent="0.15">
      <c r="A12" s="502" t="s">
        <v>190</v>
      </c>
      <c r="B12" s="503"/>
      <c r="C12" s="503"/>
      <c r="D12" s="503"/>
      <c r="E12" s="503"/>
      <c r="F12" s="503"/>
      <c r="G12" s="503"/>
      <c r="H12" s="503"/>
      <c r="I12" s="503"/>
      <c r="J12" s="537"/>
      <c r="K12" s="539" t="s">
        <v>289</v>
      </c>
      <c r="L12" s="538"/>
      <c r="M12" s="538"/>
      <c r="N12" s="538"/>
      <c r="O12" s="538"/>
      <c r="P12" s="538"/>
      <c r="Q12" s="538"/>
      <c r="R12" s="538"/>
      <c r="S12" s="538"/>
      <c r="T12" s="538"/>
      <c r="U12" s="538"/>
      <c r="V12" s="538"/>
      <c r="W12" s="630"/>
      <c r="X12" s="628"/>
      <c r="Y12" s="628"/>
      <c r="Z12" s="628"/>
      <c r="AA12" s="628"/>
      <c r="AB12" s="628"/>
      <c r="AC12" s="628"/>
      <c r="AD12" s="628"/>
      <c r="AE12" s="628"/>
      <c r="AF12" s="628"/>
      <c r="AG12" s="628"/>
      <c r="AH12" s="629"/>
    </row>
    <row r="13" spans="1:34" s="75" customFormat="1" ht="15" customHeight="1" x14ac:dyDescent="0.15">
      <c r="A13" s="502" t="s">
        <v>192</v>
      </c>
      <c r="B13" s="503"/>
      <c r="C13" s="503"/>
      <c r="D13" s="503"/>
      <c r="E13" s="503"/>
      <c r="F13" s="503"/>
      <c r="G13" s="503"/>
      <c r="H13" s="503"/>
      <c r="I13" s="503"/>
      <c r="J13" s="537"/>
      <c r="K13" s="539" t="s">
        <v>193</v>
      </c>
      <c r="L13" s="631"/>
      <c r="M13" s="539"/>
      <c r="N13" s="539"/>
      <c r="O13" s="539"/>
      <c r="P13" s="539"/>
      <c r="Q13" s="539"/>
      <c r="R13" s="539"/>
      <c r="S13" s="539"/>
      <c r="T13" s="539"/>
      <c r="U13" s="539"/>
      <c r="V13" s="539"/>
      <c r="W13" s="630"/>
      <c r="X13" s="628"/>
      <c r="Y13" s="628"/>
      <c r="Z13" s="628"/>
      <c r="AA13" s="628"/>
      <c r="AB13" s="628"/>
      <c r="AC13" s="628"/>
      <c r="AD13" s="628"/>
      <c r="AE13" s="628"/>
      <c r="AF13" s="628"/>
      <c r="AG13" s="628"/>
      <c r="AH13" s="629"/>
    </row>
    <row r="14" spans="1:34" s="75" customFormat="1" ht="15" customHeight="1" x14ac:dyDescent="0.15">
      <c r="A14" s="502" t="s">
        <v>194</v>
      </c>
      <c r="B14" s="503"/>
      <c r="C14" s="503"/>
      <c r="D14" s="503"/>
      <c r="E14" s="503"/>
      <c r="F14" s="503"/>
      <c r="G14" s="503"/>
      <c r="H14" s="503"/>
      <c r="I14" s="503"/>
      <c r="J14" s="537"/>
      <c r="K14" s="539" t="s">
        <v>290</v>
      </c>
      <c r="L14" s="539"/>
      <c r="M14" s="539"/>
      <c r="N14" s="539"/>
      <c r="O14" s="539"/>
      <c r="P14" s="539"/>
      <c r="Q14" s="539"/>
      <c r="R14" s="539"/>
      <c r="S14" s="539"/>
      <c r="T14" s="539"/>
      <c r="U14" s="539"/>
      <c r="V14" s="539"/>
      <c r="W14" s="630"/>
      <c r="X14" s="628"/>
      <c r="Y14" s="628"/>
      <c r="Z14" s="628"/>
      <c r="AA14" s="628"/>
      <c r="AB14" s="628"/>
      <c r="AC14" s="628"/>
      <c r="AD14" s="628"/>
      <c r="AE14" s="628"/>
      <c r="AF14" s="628"/>
      <c r="AG14" s="628"/>
      <c r="AH14" s="629"/>
    </row>
    <row r="15" spans="1:34" s="75" customFormat="1" ht="15" customHeight="1" x14ac:dyDescent="0.15">
      <c r="A15" s="502" t="s">
        <v>196</v>
      </c>
      <c r="B15" s="503"/>
      <c r="C15" s="503"/>
      <c r="D15" s="503"/>
      <c r="E15" s="503"/>
      <c r="F15" s="503"/>
      <c r="G15" s="503"/>
      <c r="H15" s="503"/>
      <c r="I15" s="503"/>
      <c r="J15" s="537"/>
      <c r="K15" s="538" t="s">
        <v>291</v>
      </c>
      <c r="L15" s="539"/>
      <c r="M15" s="539"/>
      <c r="N15" s="539"/>
      <c r="O15" s="539"/>
      <c r="P15" s="539"/>
      <c r="Q15" s="539"/>
      <c r="R15" s="539"/>
      <c r="S15" s="539"/>
      <c r="T15" s="539"/>
      <c r="U15" s="539"/>
      <c r="V15" s="539"/>
      <c r="W15" s="630"/>
      <c r="X15" s="628"/>
      <c r="Y15" s="628"/>
      <c r="Z15" s="628"/>
      <c r="AA15" s="628"/>
      <c r="AB15" s="628"/>
      <c r="AC15" s="628"/>
      <c r="AD15" s="628"/>
      <c r="AE15" s="628"/>
      <c r="AF15" s="628"/>
      <c r="AG15" s="628"/>
      <c r="AH15" s="629"/>
    </row>
    <row r="16" spans="1:34" s="75" customFormat="1" ht="15" customHeight="1" x14ac:dyDescent="0.15">
      <c r="A16" s="719" t="s">
        <v>198</v>
      </c>
      <c r="B16" s="720"/>
      <c r="C16" s="720"/>
      <c r="D16" s="720"/>
      <c r="E16" s="720"/>
      <c r="F16" s="720"/>
      <c r="G16" s="720"/>
      <c r="H16" s="720"/>
      <c r="I16" s="720"/>
      <c r="J16" s="721"/>
      <c r="K16" s="543" t="s">
        <v>228</v>
      </c>
      <c r="L16" s="543"/>
      <c r="M16" s="543"/>
      <c r="N16" s="543"/>
      <c r="O16" s="543"/>
      <c r="P16" s="543"/>
      <c r="Q16" s="543"/>
      <c r="R16" s="543"/>
      <c r="S16" s="543"/>
      <c r="T16" s="543"/>
      <c r="U16" s="543"/>
      <c r="V16" s="543"/>
      <c r="W16" s="722"/>
      <c r="X16" s="723"/>
      <c r="Y16" s="723"/>
      <c r="Z16" s="723"/>
      <c r="AA16" s="723"/>
      <c r="AB16" s="723"/>
      <c r="AC16" s="723"/>
      <c r="AD16" s="723"/>
      <c r="AE16" s="723"/>
      <c r="AF16" s="723"/>
      <c r="AG16" s="723"/>
      <c r="AH16" s="724"/>
    </row>
    <row r="17" spans="1:43" s="75" customFormat="1" ht="15" customHeight="1" x14ac:dyDescent="0.15">
      <c r="A17" s="540"/>
      <c r="B17" s="541"/>
      <c r="C17" s="541"/>
      <c r="D17" s="541"/>
      <c r="E17" s="541"/>
      <c r="F17" s="541"/>
      <c r="G17" s="541"/>
      <c r="H17" s="541"/>
      <c r="I17" s="541"/>
      <c r="J17" s="542"/>
      <c r="K17" s="540"/>
      <c r="L17" s="541"/>
      <c r="M17" s="541"/>
      <c r="N17" s="541"/>
      <c r="O17" s="541"/>
      <c r="P17" s="541"/>
      <c r="Q17" s="541"/>
      <c r="R17" s="541"/>
      <c r="S17" s="541"/>
      <c r="T17" s="541"/>
      <c r="U17" s="541"/>
      <c r="V17" s="542"/>
      <c r="W17" s="540"/>
      <c r="X17" s="541"/>
      <c r="Y17" s="541"/>
      <c r="Z17" s="541"/>
      <c r="AA17" s="541"/>
      <c r="AB17" s="541"/>
      <c r="AC17" s="541"/>
      <c r="AD17" s="541"/>
      <c r="AE17" s="541"/>
      <c r="AF17" s="541"/>
      <c r="AG17" s="541"/>
      <c r="AH17" s="542"/>
    </row>
    <row r="18" spans="1:43" s="75" customFormat="1" ht="15" customHeight="1" x14ac:dyDescent="0.15">
      <c r="A18" s="435"/>
      <c r="B18" s="436"/>
      <c r="C18" s="436"/>
      <c r="D18" s="436"/>
      <c r="E18" s="436"/>
      <c r="F18" s="436"/>
      <c r="G18" s="436"/>
      <c r="H18" s="436"/>
      <c r="I18" s="436"/>
      <c r="J18" s="437"/>
      <c r="K18" s="518"/>
      <c r="L18" s="519"/>
      <c r="M18" s="519"/>
      <c r="N18" s="520"/>
      <c r="O18" s="518"/>
      <c r="P18" s="519"/>
      <c r="Q18" s="519"/>
      <c r="R18" s="520"/>
      <c r="S18" s="518"/>
      <c r="T18" s="519"/>
      <c r="U18" s="519"/>
      <c r="V18" s="520"/>
      <c r="W18" s="518"/>
      <c r="X18" s="519"/>
      <c r="Y18" s="519"/>
      <c r="Z18" s="520"/>
      <c r="AA18" s="518"/>
      <c r="AB18" s="519"/>
      <c r="AC18" s="519"/>
      <c r="AD18" s="520"/>
      <c r="AE18" s="518"/>
      <c r="AF18" s="519"/>
      <c r="AG18" s="519"/>
      <c r="AH18" s="520"/>
    </row>
    <row r="19" spans="1:43" s="75" customFormat="1" ht="15" customHeight="1" x14ac:dyDescent="0.15">
      <c r="A19" s="438"/>
      <c r="B19" s="439"/>
      <c r="C19" s="439"/>
      <c r="D19" s="439"/>
      <c r="E19" s="439"/>
      <c r="F19" s="439"/>
      <c r="G19" s="439"/>
      <c r="H19" s="439"/>
      <c r="I19" s="439"/>
      <c r="J19" s="440"/>
      <c r="K19" s="521"/>
      <c r="L19" s="522"/>
      <c r="M19" s="522"/>
      <c r="N19" s="523"/>
      <c r="O19" s="521"/>
      <c r="P19" s="522"/>
      <c r="Q19" s="522"/>
      <c r="R19" s="523"/>
      <c r="S19" s="521"/>
      <c r="T19" s="522"/>
      <c r="U19" s="522"/>
      <c r="V19" s="523"/>
      <c r="W19" s="521"/>
      <c r="X19" s="522"/>
      <c r="Y19" s="522"/>
      <c r="Z19" s="523"/>
      <c r="AA19" s="521"/>
      <c r="AB19" s="522"/>
      <c r="AC19" s="522"/>
      <c r="AD19" s="523"/>
      <c r="AE19" s="521"/>
      <c r="AF19" s="522"/>
      <c r="AG19" s="522"/>
      <c r="AH19" s="523"/>
    </row>
    <row r="20" spans="1:43" s="75" customFormat="1" ht="15" customHeight="1" x14ac:dyDescent="0.15">
      <c r="A20" s="472" t="s">
        <v>200</v>
      </c>
      <c r="B20" s="473"/>
      <c r="C20" s="474"/>
      <c r="D20" s="527" t="s">
        <v>292</v>
      </c>
      <c r="E20" s="528"/>
      <c r="F20" s="528"/>
      <c r="G20" s="528"/>
      <c r="H20" s="528"/>
      <c r="I20" s="529" t="s">
        <v>202</v>
      </c>
      <c r="J20" s="530"/>
      <c r="K20" s="717">
        <v>80</v>
      </c>
      <c r="L20" s="718"/>
      <c r="M20" s="718"/>
      <c r="N20" s="718"/>
      <c r="O20" s="713"/>
      <c r="P20" s="713"/>
      <c r="Q20" s="713"/>
      <c r="R20" s="713"/>
      <c r="S20" s="713"/>
      <c r="T20" s="713"/>
      <c r="U20" s="713"/>
      <c r="V20" s="713"/>
      <c r="W20" s="713"/>
      <c r="X20" s="713"/>
      <c r="Y20" s="713"/>
      <c r="Z20" s="713"/>
      <c r="AA20" s="713"/>
      <c r="AB20" s="713"/>
      <c r="AC20" s="713"/>
      <c r="AD20" s="713"/>
      <c r="AE20" s="528"/>
      <c r="AF20" s="528"/>
      <c r="AG20" s="528"/>
      <c r="AH20" s="544"/>
    </row>
    <row r="21" spans="1:43" s="75" customFormat="1" ht="15" customHeight="1" x14ac:dyDescent="0.15">
      <c r="A21" s="475"/>
      <c r="B21" s="476"/>
      <c r="C21" s="477"/>
      <c r="D21" s="502" t="s">
        <v>203</v>
      </c>
      <c r="E21" s="503"/>
      <c r="F21" s="503"/>
      <c r="G21" s="503"/>
      <c r="H21" s="503"/>
      <c r="I21" s="504" t="s">
        <v>204</v>
      </c>
      <c r="J21" s="505"/>
      <c r="K21" s="714">
        <v>5</v>
      </c>
      <c r="L21" s="715"/>
      <c r="M21" s="715"/>
      <c r="N21" s="715"/>
      <c r="O21" s="716"/>
      <c r="P21" s="716"/>
      <c r="Q21" s="716"/>
      <c r="R21" s="716"/>
      <c r="S21" s="716"/>
      <c r="T21" s="716"/>
      <c r="U21" s="716"/>
      <c r="V21" s="716"/>
      <c r="W21" s="716"/>
      <c r="X21" s="716"/>
      <c r="Y21" s="716"/>
      <c r="Z21" s="716"/>
      <c r="AA21" s="716"/>
      <c r="AB21" s="716"/>
      <c r="AC21" s="716"/>
      <c r="AD21" s="716"/>
      <c r="AE21" s="711"/>
      <c r="AF21" s="711"/>
      <c r="AG21" s="711"/>
      <c r="AH21" s="712"/>
    </row>
    <row r="22" spans="1:43" s="75" customFormat="1" ht="15" customHeight="1" x14ac:dyDescent="0.15">
      <c r="A22" s="475"/>
      <c r="B22" s="476"/>
      <c r="C22" s="477"/>
      <c r="D22" s="502"/>
      <c r="E22" s="503"/>
      <c r="F22" s="503"/>
      <c r="G22" s="503"/>
      <c r="H22" s="503"/>
      <c r="I22" s="503"/>
      <c r="J22" s="537"/>
      <c r="K22" s="502"/>
      <c r="L22" s="503"/>
      <c r="M22" s="503"/>
      <c r="N22" s="503"/>
      <c r="O22" s="538"/>
      <c r="P22" s="538"/>
      <c r="Q22" s="538"/>
      <c r="R22" s="538"/>
      <c r="S22" s="539"/>
      <c r="T22" s="539"/>
      <c r="U22" s="539"/>
      <c r="V22" s="539"/>
      <c r="W22" s="539"/>
      <c r="X22" s="539"/>
      <c r="Y22" s="539"/>
      <c r="Z22" s="539"/>
      <c r="AA22" s="539"/>
      <c r="AB22" s="539"/>
      <c r="AC22" s="539"/>
      <c r="AD22" s="539"/>
      <c r="AE22" s="503"/>
      <c r="AF22" s="503"/>
      <c r="AG22" s="503"/>
      <c r="AH22" s="537"/>
    </row>
    <row r="23" spans="1:43" s="75" customFormat="1" ht="15" customHeight="1" x14ac:dyDescent="0.15">
      <c r="A23" s="524"/>
      <c r="B23" s="525"/>
      <c r="C23" s="526"/>
      <c r="D23" s="540"/>
      <c r="E23" s="541"/>
      <c r="F23" s="541"/>
      <c r="G23" s="541"/>
      <c r="H23" s="541"/>
      <c r="I23" s="707"/>
      <c r="J23" s="708"/>
      <c r="K23" s="709"/>
      <c r="L23" s="710"/>
      <c r="M23" s="710"/>
      <c r="N23" s="710"/>
      <c r="O23" s="706"/>
      <c r="P23" s="706"/>
      <c r="Q23" s="706"/>
      <c r="R23" s="706"/>
      <c r="S23" s="706"/>
      <c r="T23" s="706"/>
      <c r="U23" s="706"/>
      <c r="V23" s="706"/>
      <c r="W23" s="706"/>
      <c r="X23" s="706"/>
      <c r="Y23" s="706"/>
      <c r="Z23" s="706"/>
      <c r="AA23" s="706"/>
      <c r="AB23" s="706"/>
      <c r="AC23" s="706"/>
      <c r="AD23" s="706"/>
      <c r="AE23" s="541"/>
      <c r="AF23" s="541"/>
      <c r="AG23" s="541"/>
      <c r="AH23" s="542"/>
    </row>
    <row r="24" spans="1:43" s="75" customFormat="1" ht="15" customHeight="1" x14ac:dyDescent="0.15">
      <c r="A24" s="414"/>
      <c r="B24" s="415"/>
      <c r="C24" s="415"/>
      <c r="D24" s="415"/>
      <c r="E24" s="415"/>
      <c r="F24" s="415"/>
      <c r="G24" s="415"/>
      <c r="H24" s="415"/>
      <c r="I24" s="415"/>
      <c r="J24" s="416"/>
      <c r="K24" s="414"/>
      <c r="L24" s="415"/>
      <c r="M24" s="415"/>
      <c r="N24" s="416"/>
      <c r="O24" s="414"/>
      <c r="P24" s="415"/>
      <c r="Q24" s="415"/>
      <c r="R24" s="416"/>
      <c r="S24" s="414"/>
      <c r="T24" s="415"/>
      <c r="U24" s="415"/>
      <c r="V24" s="416"/>
      <c r="W24" s="414"/>
      <c r="X24" s="415"/>
      <c r="Y24" s="415"/>
      <c r="Z24" s="416"/>
      <c r="AA24" s="414"/>
      <c r="AB24" s="415"/>
      <c r="AC24" s="415"/>
      <c r="AD24" s="416"/>
      <c r="AE24" s="414"/>
      <c r="AF24" s="415"/>
      <c r="AG24" s="415"/>
      <c r="AH24" s="416"/>
    </row>
    <row r="25" spans="1:43" s="75" customFormat="1" ht="15" customHeight="1" x14ac:dyDescent="0.15">
      <c r="A25" s="662" t="s">
        <v>293</v>
      </c>
      <c r="B25" s="663"/>
      <c r="C25" s="668" t="s">
        <v>294</v>
      </c>
      <c r="D25" s="669"/>
      <c r="E25" s="669"/>
      <c r="F25" s="669"/>
      <c r="G25" s="669"/>
      <c r="H25" s="669"/>
      <c r="I25" s="670" t="s">
        <v>202</v>
      </c>
      <c r="J25" s="671"/>
      <c r="K25" s="688">
        <v>80</v>
      </c>
      <c r="L25" s="689"/>
      <c r="M25" s="689"/>
      <c r="N25" s="690"/>
      <c r="O25" s="675"/>
      <c r="P25" s="676"/>
      <c r="Q25" s="676"/>
      <c r="R25" s="677"/>
      <c r="S25" s="675"/>
      <c r="T25" s="676"/>
      <c r="U25" s="676"/>
      <c r="V25" s="677"/>
      <c r="W25" s="675"/>
      <c r="X25" s="676"/>
      <c r="Y25" s="676"/>
      <c r="Z25" s="677"/>
      <c r="AA25" s="675"/>
      <c r="AB25" s="676"/>
      <c r="AC25" s="676"/>
      <c r="AD25" s="677"/>
      <c r="AE25" s="675"/>
      <c r="AF25" s="676"/>
      <c r="AG25" s="676"/>
      <c r="AH25" s="677"/>
    </row>
    <row r="26" spans="1:43" s="75" customFormat="1" ht="15" customHeight="1" x14ac:dyDescent="0.15">
      <c r="A26" s="664"/>
      <c r="B26" s="665"/>
      <c r="C26" s="681" t="s">
        <v>295</v>
      </c>
      <c r="D26" s="682"/>
      <c r="E26" s="682"/>
      <c r="F26" s="682"/>
      <c r="G26" s="682"/>
      <c r="H26" s="682"/>
      <c r="I26" s="683" t="s">
        <v>296</v>
      </c>
      <c r="J26" s="684"/>
      <c r="K26" s="703">
        <v>83</v>
      </c>
      <c r="L26" s="704"/>
      <c r="M26" s="704"/>
      <c r="N26" s="705"/>
      <c r="O26" s="643"/>
      <c r="P26" s="644"/>
      <c r="Q26" s="644"/>
      <c r="R26" s="645"/>
      <c r="S26" s="643"/>
      <c r="T26" s="644"/>
      <c r="U26" s="644"/>
      <c r="V26" s="645"/>
      <c r="W26" s="640"/>
      <c r="X26" s="641"/>
      <c r="Y26" s="641"/>
      <c r="Z26" s="642"/>
      <c r="AA26" s="643"/>
      <c r="AB26" s="644"/>
      <c r="AC26" s="644"/>
      <c r="AD26" s="645"/>
      <c r="AE26" s="643"/>
      <c r="AF26" s="644"/>
      <c r="AG26" s="644"/>
      <c r="AH26" s="645"/>
    </row>
    <row r="27" spans="1:43" s="75" customFormat="1" ht="15" customHeight="1" x14ac:dyDescent="0.15">
      <c r="A27" s="664"/>
      <c r="B27" s="665"/>
      <c r="C27" s="646" t="s">
        <v>297</v>
      </c>
      <c r="D27" s="647"/>
      <c r="E27" s="647"/>
      <c r="F27" s="647"/>
      <c r="G27" s="647"/>
      <c r="H27" s="647"/>
      <c r="I27" s="422" t="s">
        <v>204</v>
      </c>
      <c r="J27" s="317"/>
      <c r="K27" s="691">
        <v>10.000999999999999</v>
      </c>
      <c r="L27" s="692"/>
      <c r="M27" s="692"/>
      <c r="N27" s="693"/>
      <c r="O27" s="697" t="s">
        <v>360</v>
      </c>
      <c r="P27" s="698"/>
      <c r="Q27" s="698"/>
      <c r="R27" s="699"/>
      <c r="S27" s="429"/>
      <c r="T27" s="430"/>
      <c r="U27" s="430"/>
      <c r="V27" s="431"/>
      <c r="W27" s="650"/>
      <c r="X27" s="651"/>
      <c r="Y27" s="651"/>
      <c r="Z27" s="652"/>
      <c r="AA27" s="429"/>
      <c r="AB27" s="430"/>
      <c r="AC27" s="430"/>
      <c r="AD27" s="431"/>
      <c r="AE27" s="429"/>
      <c r="AF27" s="430"/>
      <c r="AG27" s="430"/>
      <c r="AH27" s="431"/>
    </row>
    <row r="28" spans="1:43" s="75" customFormat="1" ht="15" customHeight="1" x14ac:dyDescent="0.15">
      <c r="A28" s="666"/>
      <c r="B28" s="667"/>
      <c r="C28" s="648"/>
      <c r="D28" s="649"/>
      <c r="E28" s="649"/>
      <c r="F28" s="649"/>
      <c r="G28" s="649"/>
      <c r="H28" s="649"/>
      <c r="I28" s="360"/>
      <c r="J28" s="321"/>
      <c r="K28" s="694"/>
      <c r="L28" s="695"/>
      <c r="M28" s="695"/>
      <c r="N28" s="696"/>
      <c r="O28" s="700"/>
      <c r="P28" s="701"/>
      <c r="Q28" s="701"/>
      <c r="R28" s="702"/>
      <c r="S28" s="432"/>
      <c r="T28" s="433"/>
      <c r="U28" s="433"/>
      <c r="V28" s="434"/>
      <c r="W28" s="653"/>
      <c r="X28" s="654"/>
      <c r="Y28" s="654"/>
      <c r="Z28" s="655"/>
      <c r="AA28" s="432"/>
      <c r="AB28" s="433"/>
      <c r="AC28" s="433"/>
      <c r="AD28" s="434"/>
      <c r="AE28" s="432"/>
      <c r="AF28" s="433"/>
      <c r="AG28" s="433"/>
      <c r="AH28" s="434"/>
    </row>
    <row r="29" spans="1:43" s="75" customFormat="1" ht="15" customHeight="1" x14ac:dyDescent="0.15">
      <c r="A29" s="662" t="s">
        <v>298</v>
      </c>
      <c r="B29" s="663"/>
      <c r="C29" s="668" t="s">
        <v>299</v>
      </c>
      <c r="D29" s="669"/>
      <c r="E29" s="669"/>
      <c r="F29" s="669"/>
      <c r="G29" s="669"/>
      <c r="H29" s="669"/>
      <c r="I29" s="670" t="s">
        <v>202</v>
      </c>
      <c r="J29" s="671"/>
      <c r="K29" s="672"/>
      <c r="L29" s="673"/>
      <c r="M29" s="673"/>
      <c r="N29" s="674"/>
      <c r="O29" s="675"/>
      <c r="P29" s="676"/>
      <c r="Q29" s="676"/>
      <c r="R29" s="677"/>
      <c r="S29" s="675"/>
      <c r="T29" s="676"/>
      <c r="U29" s="676"/>
      <c r="V29" s="677"/>
      <c r="W29" s="675"/>
      <c r="X29" s="676"/>
      <c r="Y29" s="676"/>
      <c r="Z29" s="677"/>
      <c r="AA29" s="675"/>
      <c r="AB29" s="676"/>
      <c r="AC29" s="676"/>
      <c r="AD29" s="677"/>
      <c r="AE29" s="675"/>
      <c r="AF29" s="676"/>
      <c r="AG29" s="676"/>
      <c r="AH29" s="677"/>
      <c r="AN29" s="151"/>
      <c r="AO29" s="151"/>
      <c r="AP29" s="151"/>
      <c r="AQ29" s="151"/>
    </row>
    <row r="30" spans="1:43" s="75" customFormat="1" ht="15" customHeight="1" x14ac:dyDescent="0.15">
      <c r="A30" s="664"/>
      <c r="B30" s="665"/>
      <c r="C30" s="681" t="s">
        <v>295</v>
      </c>
      <c r="D30" s="682"/>
      <c r="E30" s="682"/>
      <c r="F30" s="682"/>
      <c r="G30" s="682"/>
      <c r="H30" s="682"/>
      <c r="I30" s="683" t="s">
        <v>300</v>
      </c>
      <c r="J30" s="684"/>
      <c r="K30" s="685"/>
      <c r="L30" s="686"/>
      <c r="M30" s="686"/>
      <c r="N30" s="687"/>
      <c r="O30" s="678"/>
      <c r="P30" s="679"/>
      <c r="Q30" s="679"/>
      <c r="R30" s="680"/>
      <c r="S30" s="678"/>
      <c r="T30" s="679"/>
      <c r="U30" s="679"/>
      <c r="V30" s="680"/>
      <c r="W30" s="637"/>
      <c r="X30" s="638"/>
      <c r="Y30" s="638"/>
      <c r="Z30" s="639"/>
      <c r="AA30" s="678"/>
      <c r="AB30" s="679"/>
      <c r="AC30" s="679"/>
      <c r="AD30" s="680"/>
      <c r="AE30" s="678"/>
      <c r="AF30" s="679"/>
      <c r="AG30" s="679"/>
      <c r="AH30" s="680"/>
      <c r="AN30" s="151"/>
      <c r="AO30" s="151"/>
      <c r="AP30" s="151"/>
      <c r="AQ30" s="151"/>
    </row>
    <row r="31" spans="1:43" s="75" customFormat="1" ht="15" customHeight="1" x14ac:dyDescent="0.15">
      <c r="A31" s="664"/>
      <c r="B31" s="665"/>
      <c r="C31" s="646" t="s">
        <v>301</v>
      </c>
      <c r="D31" s="647"/>
      <c r="E31" s="647"/>
      <c r="F31" s="647"/>
      <c r="G31" s="647"/>
      <c r="H31" s="647"/>
      <c r="I31" s="422" t="s">
        <v>302</v>
      </c>
      <c r="J31" s="317"/>
      <c r="K31" s="650"/>
      <c r="L31" s="651"/>
      <c r="M31" s="651"/>
      <c r="N31" s="652"/>
      <c r="O31" s="656"/>
      <c r="P31" s="657"/>
      <c r="Q31" s="657"/>
      <c r="R31" s="658"/>
      <c r="S31" s="429"/>
      <c r="T31" s="430"/>
      <c r="U31" s="430"/>
      <c r="V31" s="431"/>
      <c r="W31" s="650"/>
      <c r="X31" s="651"/>
      <c r="Y31" s="651"/>
      <c r="Z31" s="652"/>
      <c r="AA31" s="429"/>
      <c r="AB31" s="430"/>
      <c r="AC31" s="430"/>
      <c r="AD31" s="431"/>
      <c r="AE31" s="429"/>
      <c r="AF31" s="430"/>
      <c r="AG31" s="430"/>
      <c r="AH31" s="431"/>
      <c r="AN31" s="151"/>
      <c r="AO31" s="151"/>
      <c r="AP31" s="151"/>
      <c r="AQ31" s="151"/>
    </row>
    <row r="32" spans="1:43" s="75" customFormat="1" ht="15" customHeight="1" x14ac:dyDescent="0.15">
      <c r="A32" s="666"/>
      <c r="B32" s="667"/>
      <c r="C32" s="648"/>
      <c r="D32" s="649"/>
      <c r="E32" s="649"/>
      <c r="F32" s="649"/>
      <c r="G32" s="649"/>
      <c r="H32" s="649"/>
      <c r="I32" s="360"/>
      <c r="J32" s="321"/>
      <c r="K32" s="653"/>
      <c r="L32" s="654"/>
      <c r="M32" s="654"/>
      <c r="N32" s="655"/>
      <c r="O32" s="659"/>
      <c r="P32" s="660"/>
      <c r="Q32" s="660"/>
      <c r="R32" s="661"/>
      <c r="S32" s="432"/>
      <c r="T32" s="433"/>
      <c r="U32" s="433"/>
      <c r="V32" s="434"/>
      <c r="W32" s="653"/>
      <c r="X32" s="654"/>
      <c r="Y32" s="654"/>
      <c r="Z32" s="655"/>
      <c r="AA32" s="432"/>
      <c r="AB32" s="433"/>
      <c r="AC32" s="433"/>
      <c r="AD32" s="434"/>
      <c r="AE32" s="432"/>
      <c r="AF32" s="433"/>
      <c r="AG32" s="433"/>
      <c r="AH32" s="434"/>
      <c r="AN32" s="151"/>
      <c r="AO32" s="151"/>
      <c r="AP32" s="151"/>
      <c r="AQ32" s="151"/>
    </row>
    <row r="33" spans="1:34" s="75" customFormat="1" ht="15" customHeight="1" x14ac:dyDescent="0.15">
      <c r="A33" s="662" t="s">
        <v>303</v>
      </c>
      <c r="B33" s="663"/>
      <c r="C33" s="668" t="s">
        <v>294</v>
      </c>
      <c r="D33" s="669"/>
      <c r="E33" s="669"/>
      <c r="F33" s="669"/>
      <c r="G33" s="669"/>
      <c r="H33" s="669"/>
      <c r="I33" s="670" t="s">
        <v>202</v>
      </c>
      <c r="J33" s="671"/>
      <c r="K33" s="672"/>
      <c r="L33" s="673"/>
      <c r="M33" s="673"/>
      <c r="N33" s="674"/>
      <c r="O33" s="675"/>
      <c r="P33" s="676"/>
      <c r="Q33" s="676"/>
      <c r="R33" s="677"/>
      <c r="S33" s="675"/>
      <c r="T33" s="676"/>
      <c r="U33" s="676"/>
      <c r="V33" s="677"/>
      <c r="W33" s="675"/>
      <c r="X33" s="676"/>
      <c r="Y33" s="676"/>
      <c r="Z33" s="677"/>
      <c r="AA33" s="675"/>
      <c r="AB33" s="676"/>
      <c r="AC33" s="676"/>
      <c r="AD33" s="677"/>
      <c r="AE33" s="675"/>
      <c r="AF33" s="676"/>
      <c r="AG33" s="676"/>
      <c r="AH33" s="677"/>
    </row>
    <row r="34" spans="1:34" s="75" customFormat="1" ht="15" customHeight="1" x14ac:dyDescent="0.15">
      <c r="A34" s="664"/>
      <c r="B34" s="665"/>
      <c r="C34" s="681" t="s">
        <v>304</v>
      </c>
      <c r="D34" s="682"/>
      <c r="E34" s="682"/>
      <c r="F34" s="682"/>
      <c r="G34" s="682"/>
      <c r="H34" s="682"/>
      <c r="I34" s="683" t="s">
        <v>300</v>
      </c>
      <c r="J34" s="684"/>
      <c r="K34" s="685"/>
      <c r="L34" s="686"/>
      <c r="M34" s="686"/>
      <c r="N34" s="687"/>
      <c r="O34" s="678"/>
      <c r="P34" s="679"/>
      <c r="Q34" s="679"/>
      <c r="R34" s="680"/>
      <c r="S34" s="678"/>
      <c r="T34" s="679"/>
      <c r="U34" s="679"/>
      <c r="V34" s="680"/>
      <c r="W34" s="640"/>
      <c r="X34" s="641"/>
      <c r="Y34" s="641"/>
      <c r="Z34" s="642"/>
      <c r="AA34" s="643"/>
      <c r="AB34" s="644"/>
      <c r="AC34" s="644"/>
      <c r="AD34" s="645"/>
      <c r="AE34" s="643"/>
      <c r="AF34" s="644"/>
      <c r="AG34" s="644"/>
      <c r="AH34" s="645"/>
    </row>
    <row r="35" spans="1:34" s="75" customFormat="1" ht="15" customHeight="1" x14ac:dyDescent="0.15">
      <c r="A35" s="664"/>
      <c r="B35" s="665"/>
      <c r="C35" s="646" t="s">
        <v>301</v>
      </c>
      <c r="D35" s="647"/>
      <c r="E35" s="647"/>
      <c r="F35" s="647"/>
      <c r="G35" s="647"/>
      <c r="H35" s="647"/>
      <c r="I35" s="422" t="s">
        <v>204</v>
      </c>
      <c r="J35" s="317"/>
      <c r="K35" s="650"/>
      <c r="L35" s="651"/>
      <c r="M35" s="651"/>
      <c r="N35" s="652"/>
      <c r="O35" s="656"/>
      <c r="P35" s="657"/>
      <c r="Q35" s="657"/>
      <c r="R35" s="658"/>
      <c r="S35" s="429"/>
      <c r="T35" s="430"/>
      <c r="U35" s="430"/>
      <c r="V35" s="431"/>
      <c r="W35" s="650"/>
      <c r="X35" s="651"/>
      <c r="Y35" s="651"/>
      <c r="Z35" s="652"/>
      <c r="AA35" s="429"/>
      <c r="AB35" s="430"/>
      <c r="AC35" s="430"/>
      <c r="AD35" s="431"/>
      <c r="AE35" s="429"/>
      <c r="AF35" s="430"/>
      <c r="AG35" s="430"/>
      <c r="AH35" s="431"/>
    </row>
    <row r="36" spans="1:34" s="75" customFormat="1" ht="15" customHeight="1" x14ac:dyDescent="0.15">
      <c r="A36" s="666"/>
      <c r="B36" s="667"/>
      <c r="C36" s="648"/>
      <c r="D36" s="649"/>
      <c r="E36" s="649"/>
      <c r="F36" s="649"/>
      <c r="G36" s="649"/>
      <c r="H36" s="649"/>
      <c r="I36" s="360"/>
      <c r="J36" s="321"/>
      <c r="K36" s="653"/>
      <c r="L36" s="654"/>
      <c r="M36" s="654"/>
      <c r="N36" s="655"/>
      <c r="O36" s="659"/>
      <c r="P36" s="660"/>
      <c r="Q36" s="660"/>
      <c r="R36" s="661"/>
      <c r="S36" s="432"/>
      <c r="T36" s="433"/>
      <c r="U36" s="433"/>
      <c r="V36" s="434"/>
      <c r="W36" s="653"/>
      <c r="X36" s="654"/>
      <c r="Y36" s="654"/>
      <c r="Z36" s="655"/>
      <c r="AA36" s="432"/>
      <c r="AB36" s="433"/>
      <c r="AC36" s="433"/>
      <c r="AD36" s="434"/>
      <c r="AE36" s="432"/>
      <c r="AF36" s="433"/>
      <c r="AG36" s="433"/>
      <c r="AH36" s="434"/>
    </row>
    <row r="37" spans="1:34" s="75" customFormat="1" ht="15" customHeight="1" x14ac:dyDescent="0.15">
      <c r="A37" s="414"/>
      <c r="B37" s="415"/>
      <c r="C37" s="415"/>
      <c r="D37" s="415"/>
      <c r="E37" s="415"/>
      <c r="F37" s="415"/>
      <c r="G37" s="415"/>
      <c r="H37" s="415"/>
      <c r="I37" s="415"/>
      <c r="J37" s="416"/>
      <c r="K37" s="414"/>
      <c r="L37" s="415"/>
      <c r="M37" s="415"/>
      <c r="N37" s="416"/>
      <c r="O37" s="414"/>
      <c r="P37" s="415"/>
      <c r="Q37" s="415"/>
      <c r="R37" s="416"/>
      <c r="S37" s="414"/>
      <c r="T37" s="415"/>
      <c r="U37" s="415"/>
      <c r="V37" s="416"/>
      <c r="W37" s="414"/>
      <c r="X37" s="415"/>
      <c r="Y37" s="415"/>
      <c r="Z37" s="416"/>
      <c r="AA37" s="414"/>
      <c r="AB37" s="415"/>
      <c r="AC37" s="415"/>
      <c r="AD37" s="416"/>
      <c r="AE37" s="414"/>
      <c r="AF37" s="415"/>
      <c r="AG37" s="415"/>
      <c r="AH37" s="416"/>
    </row>
    <row r="38" spans="1:34" s="75" customFormat="1" ht="15" customHeight="1" x14ac:dyDescent="0.15">
      <c r="A38" s="435"/>
      <c r="B38" s="436"/>
      <c r="C38" s="436"/>
      <c r="D38" s="436"/>
      <c r="E38" s="436"/>
      <c r="F38" s="436"/>
      <c r="G38" s="436"/>
      <c r="H38" s="436"/>
      <c r="I38" s="561"/>
      <c r="J38" s="562"/>
      <c r="K38" s="634"/>
      <c r="L38" s="635"/>
      <c r="M38" s="635"/>
      <c r="N38" s="636"/>
      <c r="O38" s="634"/>
      <c r="P38" s="635"/>
      <c r="Q38" s="635"/>
      <c r="R38" s="636"/>
      <c r="S38" s="634"/>
      <c r="T38" s="635"/>
      <c r="U38" s="635"/>
      <c r="V38" s="636"/>
      <c r="W38" s="634"/>
      <c r="X38" s="635"/>
      <c r="Y38" s="635"/>
      <c r="Z38" s="636"/>
      <c r="AA38" s="634"/>
      <c r="AB38" s="635"/>
      <c r="AC38" s="635"/>
      <c r="AD38" s="636"/>
      <c r="AE38" s="634"/>
      <c r="AF38" s="635"/>
      <c r="AG38" s="635"/>
      <c r="AH38" s="636"/>
    </row>
    <row r="39" spans="1:34" s="75" customFormat="1" ht="15" customHeight="1" x14ac:dyDescent="0.15">
      <c r="A39" s="438"/>
      <c r="B39" s="439"/>
      <c r="C39" s="439"/>
      <c r="D39" s="439"/>
      <c r="E39" s="439"/>
      <c r="F39" s="439"/>
      <c r="G39" s="439"/>
      <c r="H39" s="439"/>
      <c r="I39" s="439"/>
      <c r="J39" s="440"/>
      <c r="K39" s="637"/>
      <c r="L39" s="638"/>
      <c r="M39" s="638"/>
      <c r="N39" s="639"/>
      <c r="O39" s="637"/>
      <c r="P39" s="638"/>
      <c r="Q39" s="638"/>
      <c r="R39" s="639"/>
      <c r="S39" s="637"/>
      <c r="T39" s="638"/>
      <c r="U39" s="638"/>
      <c r="V39" s="639"/>
      <c r="W39" s="637"/>
      <c r="X39" s="638"/>
      <c r="Y39" s="638"/>
      <c r="Z39" s="639"/>
      <c r="AA39" s="637"/>
      <c r="AB39" s="638"/>
      <c r="AC39" s="638"/>
      <c r="AD39" s="639"/>
      <c r="AE39" s="637"/>
      <c r="AF39" s="638"/>
      <c r="AG39" s="638"/>
      <c r="AH39" s="639"/>
    </row>
    <row r="40" spans="1:34" s="75" customFormat="1" ht="15" customHeight="1" x14ac:dyDescent="0.15">
      <c r="A40" s="414"/>
      <c r="B40" s="415"/>
      <c r="C40" s="415"/>
      <c r="D40" s="415"/>
      <c r="E40" s="415"/>
      <c r="F40" s="415"/>
      <c r="G40" s="415"/>
      <c r="H40" s="415"/>
      <c r="I40" s="415"/>
      <c r="J40" s="416"/>
      <c r="K40" s="414"/>
      <c r="L40" s="415"/>
      <c r="M40" s="415"/>
      <c r="N40" s="416"/>
      <c r="O40" s="414"/>
      <c r="P40" s="415"/>
      <c r="Q40" s="415"/>
      <c r="R40" s="416"/>
      <c r="S40" s="414"/>
      <c r="T40" s="415"/>
      <c r="U40" s="415"/>
      <c r="V40" s="416"/>
      <c r="W40" s="414"/>
      <c r="X40" s="415"/>
      <c r="Y40" s="415"/>
      <c r="Z40" s="416"/>
      <c r="AA40" s="414"/>
      <c r="AB40" s="415"/>
      <c r="AC40" s="415"/>
      <c r="AD40" s="416"/>
      <c r="AE40" s="414"/>
      <c r="AF40" s="415"/>
      <c r="AG40" s="415"/>
      <c r="AH40" s="416"/>
    </row>
    <row r="41" spans="1:34" s="75" customFormat="1" ht="15" customHeight="1" x14ac:dyDescent="0.15">
      <c r="A41" s="414" t="s">
        <v>210</v>
      </c>
      <c r="B41" s="415"/>
      <c r="C41" s="415"/>
      <c r="D41" s="415"/>
      <c r="E41" s="415"/>
      <c r="F41" s="415"/>
      <c r="G41" s="415"/>
      <c r="H41" s="415"/>
      <c r="I41" s="415"/>
      <c r="J41" s="416"/>
      <c r="K41" s="414" t="s">
        <v>305</v>
      </c>
      <c r="L41" s="415"/>
      <c r="M41" s="415"/>
      <c r="N41" s="415"/>
      <c r="O41" s="626"/>
      <c r="P41" s="626"/>
      <c r="Q41" s="626"/>
      <c r="R41" s="626"/>
      <c r="S41" s="626"/>
      <c r="T41" s="626"/>
      <c r="U41" s="626"/>
      <c r="V41" s="626"/>
      <c r="W41" s="414"/>
      <c r="X41" s="415"/>
      <c r="Y41" s="415"/>
      <c r="Z41" s="415"/>
      <c r="AA41" s="626"/>
      <c r="AB41" s="626"/>
      <c r="AC41" s="626"/>
      <c r="AD41" s="626"/>
      <c r="AE41" s="415"/>
      <c r="AF41" s="415"/>
      <c r="AG41" s="415"/>
      <c r="AH41" s="416"/>
    </row>
    <row r="42" spans="1:34" s="75" customFormat="1" ht="15" customHeight="1" x14ac:dyDescent="0.15">
      <c r="A42" s="414" t="s">
        <v>212</v>
      </c>
      <c r="B42" s="415"/>
      <c r="C42" s="415"/>
      <c r="D42" s="415"/>
      <c r="E42" s="415"/>
      <c r="F42" s="415"/>
      <c r="G42" s="415"/>
      <c r="H42" s="415"/>
      <c r="I42" s="415"/>
      <c r="J42" s="416"/>
      <c r="K42" s="417" t="s">
        <v>213</v>
      </c>
      <c r="L42" s="418"/>
      <c r="M42" s="418"/>
      <c r="N42" s="418"/>
      <c r="O42" s="626"/>
      <c r="P42" s="626"/>
      <c r="Q42" s="626"/>
      <c r="R42" s="626"/>
      <c r="S42" s="626"/>
      <c r="T42" s="626"/>
      <c r="U42" s="626"/>
      <c r="V42" s="626"/>
      <c r="W42" s="414"/>
      <c r="X42" s="415"/>
      <c r="Y42" s="415"/>
      <c r="Z42" s="415"/>
      <c r="AA42" s="626"/>
      <c r="AB42" s="626"/>
      <c r="AC42" s="626"/>
      <c r="AD42" s="626"/>
      <c r="AE42" s="415"/>
      <c r="AF42" s="415"/>
      <c r="AG42" s="415"/>
      <c r="AH42" s="416"/>
    </row>
    <row r="43" spans="1:34" s="75" customFormat="1" ht="15" customHeight="1" x14ac:dyDescent="0.15">
      <c r="A43" s="421" t="s">
        <v>214</v>
      </c>
      <c r="B43" s="422"/>
      <c r="C43" s="422"/>
      <c r="D43" s="422"/>
      <c r="E43" s="422"/>
      <c r="F43" s="422"/>
      <c r="G43" s="422"/>
      <c r="H43" s="422"/>
      <c r="I43" s="422"/>
      <c r="J43" s="317"/>
      <c r="K43" s="423" t="s">
        <v>215</v>
      </c>
      <c r="L43" s="424"/>
      <c r="M43" s="424"/>
      <c r="N43" s="424"/>
      <c r="O43" s="404"/>
      <c r="P43" s="404"/>
      <c r="Q43" s="404"/>
      <c r="R43" s="404"/>
      <c r="S43" s="404"/>
      <c r="T43" s="404"/>
      <c r="U43" s="404"/>
      <c r="V43" s="404"/>
      <c r="W43" s="421"/>
      <c r="X43" s="422"/>
      <c r="Y43" s="422"/>
      <c r="Z43" s="422"/>
      <c r="AA43" s="404"/>
      <c r="AB43" s="404"/>
      <c r="AC43" s="404"/>
      <c r="AD43" s="404"/>
      <c r="AE43" s="422"/>
      <c r="AF43" s="422"/>
      <c r="AG43" s="422"/>
      <c r="AH43" s="317"/>
    </row>
    <row r="44" spans="1:34" s="75" customFormat="1" ht="15" customHeight="1" x14ac:dyDescent="0.15">
      <c r="A44" s="359"/>
      <c r="B44" s="360"/>
      <c r="C44" s="360"/>
      <c r="D44" s="360"/>
      <c r="E44" s="360"/>
      <c r="F44" s="360"/>
      <c r="G44" s="360"/>
      <c r="H44" s="360"/>
      <c r="I44" s="360"/>
      <c r="J44" s="321"/>
      <c r="K44" s="426"/>
      <c r="L44" s="427"/>
      <c r="M44" s="427"/>
      <c r="N44" s="427"/>
      <c r="O44" s="633"/>
      <c r="P44" s="633"/>
      <c r="Q44" s="633"/>
      <c r="R44" s="633"/>
      <c r="S44" s="633"/>
      <c r="T44" s="633"/>
      <c r="U44" s="633"/>
      <c r="V44" s="633"/>
      <c r="W44" s="359"/>
      <c r="X44" s="360"/>
      <c r="Y44" s="360"/>
      <c r="Z44" s="360"/>
      <c r="AA44" s="633"/>
      <c r="AB44" s="633"/>
      <c r="AC44" s="633"/>
      <c r="AD44" s="633"/>
      <c r="AE44" s="360"/>
      <c r="AF44" s="360"/>
      <c r="AG44" s="360"/>
      <c r="AH44" s="321"/>
    </row>
    <row r="45" spans="1:34" s="75" customFormat="1" ht="11.25" customHeight="1" x14ac:dyDescent="0.15"/>
    <row r="46" spans="1:34" s="75" customFormat="1" ht="15" customHeight="1" x14ac:dyDescent="0.15">
      <c r="A46" s="128" t="s">
        <v>216</v>
      </c>
      <c r="B46" s="129"/>
      <c r="C46" s="129"/>
      <c r="D46" s="129"/>
      <c r="E46" s="129"/>
      <c r="F46" s="129"/>
      <c r="G46" s="129"/>
      <c r="H46" s="152"/>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30"/>
    </row>
    <row r="47" spans="1:34" s="75" customFormat="1" ht="15" customHeight="1" x14ac:dyDescent="0.15">
      <c r="A47" s="131"/>
      <c r="B47" s="75" t="s">
        <v>306</v>
      </c>
      <c r="AH47" s="132"/>
    </row>
    <row r="48" spans="1:34" s="75" customFormat="1" ht="15" customHeight="1" x14ac:dyDescent="0.15">
      <c r="A48" s="131"/>
      <c r="B48" s="75" t="s">
        <v>307</v>
      </c>
      <c r="AH48" s="132"/>
    </row>
    <row r="49" spans="1:34" s="75" customFormat="1" ht="15" customHeight="1" x14ac:dyDescent="0.15">
      <c r="A49" s="131"/>
      <c r="AH49" s="132"/>
    </row>
    <row r="50" spans="1:34" s="75" customFormat="1" ht="20.25" customHeight="1" x14ac:dyDescent="0.15">
      <c r="A50" s="131"/>
      <c r="AH50" s="132"/>
    </row>
    <row r="51" spans="1:34" s="75" customFormat="1" ht="13.5" x14ac:dyDescent="0.15">
      <c r="A51" s="550"/>
      <c r="B51" s="550"/>
      <c r="C51" s="550"/>
      <c r="D51" s="550"/>
      <c r="E51" s="550"/>
      <c r="F51" s="550"/>
      <c r="G51" s="550"/>
      <c r="H51" s="550"/>
      <c r="I51" s="550"/>
      <c r="J51" s="550"/>
      <c r="K51" s="550"/>
      <c r="L51" s="550"/>
      <c r="M51" s="550"/>
      <c r="N51" s="550"/>
      <c r="O51" s="550"/>
      <c r="P51" s="550"/>
      <c r="Q51" s="550"/>
      <c r="R51" s="550"/>
      <c r="S51" s="550"/>
      <c r="T51" s="550"/>
      <c r="U51" s="550"/>
      <c r="V51" s="550"/>
      <c r="W51" s="550"/>
      <c r="X51" s="550"/>
      <c r="Y51" s="550"/>
      <c r="Z51" s="550"/>
      <c r="AA51" s="550"/>
      <c r="AB51" s="550"/>
      <c r="AC51" s="550"/>
      <c r="AD51" s="550"/>
      <c r="AE51" s="550"/>
      <c r="AF51" s="550"/>
      <c r="AG51" s="550"/>
      <c r="AH51" s="550"/>
    </row>
    <row r="52" spans="1:34" s="75" customFormat="1" ht="13.5" x14ac:dyDescent="0.15"/>
    <row r="53" spans="1:34" s="75" customFormat="1" ht="13.5" x14ac:dyDescent="0.15"/>
    <row r="54" spans="1:34" s="75" customFormat="1" ht="13.5" x14ac:dyDescent="0.15"/>
    <row r="55" spans="1:34" s="75" customFormat="1" ht="13.5" x14ac:dyDescent="0.15"/>
    <row r="56" spans="1:34" s="75" customFormat="1" ht="13.5" x14ac:dyDescent="0.15"/>
    <row r="57" spans="1:34" s="75" customFormat="1" ht="13.5" x14ac:dyDescent="0.15"/>
    <row r="58" spans="1:34" s="75" customFormat="1" ht="13.5" x14ac:dyDescent="0.15"/>
    <row r="59" spans="1:34" s="75" customFormat="1" ht="13.5" x14ac:dyDescent="0.15"/>
    <row r="60" spans="1:34" s="75" customFormat="1" ht="13.5" x14ac:dyDescent="0.15"/>
    <row r="61" spans="1:34" s="75" customFormat="1" ht="13.5" x14ac:dyDescent="0.15"/>
    <row r="62" spans="1:34" s="75" customFormat="1" ht="13.5" x14ac:dyDescent="0.15"/>
    <row r="63" spans="1:34" s="75" customFormat="1" ht="13.5" x14ac:dyDescent="0.15"/>
    <row r="64" spans="1:34" s="75" customFormat="1" ht="13.5" x14ac:dyDescent="0.15"/>
    <row r="65" s="75" customFormat="1" ht="13.5" x14ac:dyDescent="0.15"/>
    <row r="66" s="75" customFormat="1" ht="13.5" x14ac:dyDescent="0.15"/>
    <row r="67" s="75" customFormat="1" ht="13.5" x14ac:dyDescent="0.15"/>
    <row r="68" s="75" customFormat="1" ht="13.5" x14ac:dyDescent="0.15"/>
    <row r="69" s="75" customFormat="1" ht="13.5" x14ac:dyDescent="0.15"/>
    <row r="70" s="75" customFormat="1" ht="13.5" x14ac:dyDescent="0.15"/>
    <row r="71" s="75" customFormat="1" ht="13.5" x14ac:dyDescent="0.15"/>
    <row r="72" s="75" customFormat="1" ht="13.5" x14ac:dyDescent="0.15"/>
    <row r="73" s="75" customFormat="1" ht="13.5" x14ac:dyDescent="0.15"/>
    <row r="74" s="75" customFormat="1" ht="13.5" x14ac:dyDescent="0.15"/>
    <row r="75" s="75" customFormat="1" ht="13.5" x14ac:dyDescent="0.15"/>
    <row r="76" s="75" customFormat="1" ht="13.5" x14ac:dyDescent="0.15"/>
    <row r="77" s="75" customFormat="1" ht="13.5" x14ac:dyDescent="0.15"/>
    <row r="78" s="75" customFormat="1" ht="13.5" x14ac:dyDescent="0.15"/>
    <row r="79" s="75" customFormat="1" ht="13.5" x14ac:dyDescent="0.15"/>
    <row r="80" s="75" customFormat="1" ht="13.5" x14ac:dyDescent="0.15"/>
    <row r="81" s="75" customFormat="1" ht="13.5" x14ac:dyDescent="0.15"/>
    <row r="82" s="75" customFormat="1" ht="13.5" x14ac:dyDescent="0.15"/>
    <row r="83" s="75" customFormat="1" ht="13.5" x14ac:dyDescent="0.15"/>
    <row r="84" s="75" customFormat="1" ht="13.5" x14ac:dyDescent="0.15"/>
    <row r="85" s="75" customFormat="1" ht="13.5" x14ac:dyDescent="0.15"/>
    <row r="86" s="75" customFormat="1" ht="13.5" x14ac:dyDescent="0.15"/>
    <row r="87" s="75" customFormat="1" ht="13.5" x14ac:dyDescent="0.15"/>
    <row r="88" s="75" customFormat="1" ht="13.5" x14ac:dyDescent="0.15"/>
    <row r="89" s="75" customFormat="1" ht="13.5" x14ac:dyDescent="0.15"/>
    <row r="90" s="75" customFormat="1" ht="13.5" x14ac:dyDescent="0.15"/>
    <row r="91" s="75" customFormat="1" ht="13.5" x14ac:dyDescent="0.15"/>
    <row r="92" s="75" customFormat="1" ht="13.5" x14ac:dyDescent="0.15"/>
    <row r="93" s="75" customFormat="1" ht="13.5" x14ac:dyDescent="0.15"/>
    <row r="94" s="75" customFormat="1" ht="13.5" x14ac:dyDescent="0.15"/>
    <row r="95" s="75" customFormat="1" ht="13.5" x14ac:dyDescent="0.15"/>
    <row r="96" s="75" customFormat="1" ht="13.5" x14ac:dyDescent="0.15"/>
    <row r="97" s="75" customFormat="1" ht="13.5" x14ac:dyDescent="0.15"/>
    <row r="98" s="75" customFormat="1" ht="13.5" x14ac:dyDescent="0.15"/>
    <row r="99" s="75" customFormat="1" ht="13.5" x14ac:dyDescent="0.15"/>
    <row r="100" s="75" customFormat="1" ht="13.5" x14ac:dyDescent="0.15"/>
    <row r="101" s="75" customFormat="1" ht="13.5" x14ac:dyDescent="0.15"/>
    <row r="102" s="75" customFormat="1" ht="13.5" x14ac:dyDescent="0.15"/>
    <row r="103" s="75" customFormat="1" ht="13.5" x14ac:dyDescent="0.15"/>
    <row r="104" s="75" customFormat="1" ht="13.5" x14ac:dyDescent="0.15"/>
  </sheetData>
  <mergeCells count="193">
    <mergeCell ref="A11:J11"/>
    <mergeCell ref="K11:V11"/>
    <mergeCell ref="W11:AH11"/>
    <mergeCell ref="A12:J12"/>
    <mergeCell ref="K12:V12"/>
    <mergeCell ref="W12:AH12"/>
    <mergeCell ref="A4:AH4"/>
    <mergeCell ref="W6:AH6"/>
    <mergeCell ref="W7:AH7"/>
    <mergeCell ref="A8:J10"/>
    <mergeCell ref="K8:V10"/>
    <mergeCell ref="W8:AH10"/>
    <mergeCell ref="A15:J15"/>
    <mergeCell ref="K15:V15"/>
    <mergeCell ref="W15:AH15"/>
    <mergeCell ref="A16:J16"/>
    <mergeCell ref="K16:V16"/>
    <mergeCell ref="W16:AH16"/>
    <mergeCell ref="A13:J13"/>
    <mergeCell ref="K13:V13"/>
    <mergeCell ref="W13:AH13"/>
    <mergeCell ref="A14:J14"/>
    <mergeCell ref="K14:V14"/>
    <mergeCell ref="W14:AH14"/>
    <mergeCell ref="A17:J17"/>
    <mergeCell ref="K17:V17"/>
    <mergeCell ref="W17:AH17"/>
    <mergeCell ref="A18:J19"/>
    <mergeCell ref="K18:N19"/>
    <mergeCell ref="O18:R19"/>
    <mergeCell ref="S18:V19"/>
    <mergeCell ref="W18:Z19"/>
    <mergeCell ref="AA18:AD19"/>
    <mergeCell ref="AE18:AH19"/>
    <mergeCell ref="W20:Z20"/>
    <mergeCell ref="AA20:AD20"/>
    <mergeCell ref="AE20:AH20"/>
    <mergeCell ref="D21:H21"/>
    <mergeCell ref="I21:J21"/>
    <mergeCell ref="K21:N21"/>
    <mergeCell ref="O21:R21"/>
    <mergeCell ref="S21:V21"/>
    <mergeCell ref="W21:Z21"/>
    <mergeCell ref="AA21:AD21"/>
    <mergeCell ref="D20:H20"/>
    <mergeCell ref="I20:J20"/>
    <mergeCell ref="K20:N20"/>
    <mergeCell ref="O20:R20"/>
    <mergeCell ref="S20:V20"/>
    <mergeCell ref="S23:V23"/>
    <mergeCell ref="W23:Z23"/>
    <mergeCell ref="AA23:AD23"/>
    <mergeCell ref="AE23:AH23"/>
    <mergeCell ref="A24:J24"/>
    <mergeCell ref="K24:N24"/>
    <mergeCell ref="O24:R24"/>
    <mergeCell ref="S24:V24"/>
    <mergeCell ref="W24:Z24"/>
    <mergeCell ref="AA24:AD24"/>
    <mergeCell ref="A20:C23"/>
    <mergeCell ref="D23:H23"/>
    <mergeCell ref="I23:J23"/>
    <mergeCell ref="K23:N23"/>
    <mergeCell ref="O23:R23"/>
    <mergeCell ref="AE24:AH24"/>
    <mergeCell ref="AE21:AH21"/>
    <mergeCell ref="D22:J22"/>
    <mergeCell ref="K22:N22"/>
    <mergeCell ref="O22:R22"/>
    <mergeCell ref="S22:V22"/>
    <mergeCell ref="W22:Z22"/>
    <mergeCell ref="AA22:AD22"/>
    <mergeCell ref="AE22:AH22"/>
    <mergeCell ref="A25:B28"/>
    <mergeCell ref="C25:H25"/>
    <mergeCell ref="I25:J25"/>
    <mergeCell ref="K25:N25"/>
    <mergeCell ref="O25:R25"/>
    <mergeCell ref="S25:V25"/>
    <mergeCell ref="W25:Z25"/>
    <mergeCell ref="AA25:AD25"/>
    <mergeCell ref="AE25:AH25"/>
    <mergeCell ref="AA26:AD26"/>
    <mergeCell ref="AE26:AH26"/>
    <mergeCell ref="C27:H28"/>
    <mergeCell ref="I27:J28"/>
    <mergeCell ref="K27:N28"/>
    <mergeCell ref="O27:R28"/>
    <mergeCell ref="S27:V28"/>
    <mergeCell ref="W27:Z28"/>
    <mergeCell ref="AA27:AD28"/>
    <mergeCell ref="AE27:AH28"/>
    <mergeCell ref="C26:H26"/>
    <mergeCell ref="I26:J26"/>
    <mergeCell ref="K26:N26"/>
    <mergeCell ref="O26:R26"/>
    <mergeCell ref="S26:V26"/>
    <mergeCell ref="W26:Z26"/>
    <mergeCell ref="W29:Z29"/>
    <mergeCell ref="AA29:AD29"/>
    <mergeCell ref="AE29:AH29"/>
    <mergeCell ref="C30:H30"/>
    <mergeCell ref="I30:J30"/>
    <mergeCell ref="K30:N30"/>
    <mergeCell ref="O30:R30"/>
    <mergeCell ref="S30:V30"/>
    <mergeCell ref="W30:Z30"/>
    <mergeCell ref="AA30:AD30"/>
    <mergeCell ref="C29:H29"/>
    <mergeCell ref="I29:J29"/>
    <mergeCell ref="K29:N29"/>
    <mergeCell ref="O29:R29"/>
    <mergeCell ref="S29:V29"/>
    <mergeCell ref="A33:B36"/>
    <mergeCell ref="C33:H33"/>
    <mergeCell ref="I33:J33"/>
    <mergeCell ref="K33:N33"/>
    <mergeCell ref="O33:R33"/>
    <mergeCell ref="S33:V33"/>
    <mergeCell ref="AE30:AH30"/>
    <mergeCell ref="C31:H32"/>
    <mergeCell ref="I31:J32"/>
    <mergeCell ref="K31:N32"/>
    <mergeCell ref="O31:R32"/>
    <mergeCell ref="S31:V32"/>
    <mergeCell ref="W31:Z32"/>
    <mergeCell ref="AA31:AD32"/>
    <mergeCell ref="AE31:AH32"/>
    <mergeCell ref="A29:B32"/>
    <mergeCell ref="W33:Z33"/>
    <mergeCell ref="AA33:AD33"/>
    <mergeCell ref="AE33:AH33"/>
    <mergeCell ref="C34:H34"/>
    <mergeCell ref="I34:J34"/>
    <mergeCell ref="K34:N34"/>
    <mergeCell ref="O34:R34"/>
    <mergeCell ref="S34:V34"/>
    <mergeCell ref="W34:Z34"/>
    <mergeCell ref="AA34:AD34"/>
    <mergeCell ref="AE34:AH34"/>
    <mergeCell ref="C35:H36"/>
    <mergeCell ref="I35:J36"/>
    <mergeCell ref="K35:N36"/>
    <mergeCell ref="O35:R36"/>
    <mergeCell ref="S35:V36"/>
    <mergeCell ref="W35:Z36"/>
    <mergeCell ref="AA35:AD36"/>
    <mergeCell ref="AE35:AH36"/>
    <mergeCell ref="AE37:AH37"/>
    <mergeCell ref="A38:H38"/>
    <mergeCell ref="I38:J38"/>
    <mergeCell ref="K38:N39"/>
    <mergeCell ref="O38:R39"/>
    <mergeCell ref="S38:V39"/>
    <mergeCell ref="W38:Z39"/>
    <mergeCell ref="AA38:AD39"/>
    <mergeCell ref="AE38:AH39"/>
    <mergeCell ref="A39:J39"/>
    <mergeCell ref="A37:J37"/>
    <mergeCell ref="K37:N37"/>
    <mergeCell ref="O37:R37"/>
    <mergeCell ref="S37:V37"/>
    <mergeCell ref="W37:Z37"/>
    <mergeCell ref="AA37:AD37"/>
    <mergeCell ref="AE40:AH40"/>
    <mergeCell ref="A41:J41"/>
    <mergeCell ref="K41:N41"/>
    <mergeCell ref="O41:R41"/>
    <mergeCell ref="S41:V41"/>
    <mergeCell ref="W41:Z41"/>
    <mergeCell ref="AA41:AD41"/>
    <mergeCell ref="AE41:AH41"/>
    <mergeCell ref="A40:J40"/>
    <mergeCell ref="K40:N40"/>
    <mergeCell ref="O40:R40"/>
    <mergeCell ref="S40:V40"/>
    <mergeCell ref="W40:Z40"/>
    <mergeCell ref="AA40:AD40"/>
    <mergeCell ref="A51:AH51"/>
    <mergeCell ref="AE42:AH42"/>
    <mergeCell ref="A43:J44"/>
    <mergeCell ref="K43:N44"/>
    <mergeCell ref="O43:R44"/>
    <mergeCell ref="S43:V44"/>
    <mergeCell ref="W43:Z44"/>
    <mergeCell ref="AA43:AD44"/>
    <mergeCell ref="AE43:AH44"/>
    <mergeCell ref="A42:J42"/>
    <mergeCell ref="K42:N42"/>
    <mergeCell ref="O42:R42"/>
    <mergeCell ref="S42:V42"/>
    <mergeCell ref="W42:Z42"/>
    <mergeCell ref="AA42:AD42"/>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4:AH52"/>
  <sheetViews>
    <sheetView showGridLines="0" tabSelected="1" view="pageBreakPreview" topLeftCell="A4" zoomScale="115" zoomScaleNormal="100" zoomScaleSheetLayoutView="115" workbookViewId="0">
      <selection activeCell="B33" sqref="B33:G33"/>
    </sheetView>
  </sheetViews>
  <sheetFormatPr defaultRowHeight="13.5" x14ac:dyDescent="0.15"/>
  <cols>
    <col min="1" max="1" width="1.375" customWidth="1"/>
    <col min="2" max="35" width="2.75" customWidth="1"/>
  </cols>
  <sheetData>
    <row r="4" spans="1:34" ht="25.5" x14ac:dyDescent="0.25">
      <c r="A4" s="546" t="s">
        <v>333</v>
      </c>
      <c r="B4" s="546"/>
      <c r="C4" s="546"/>
      <c r="D4" s="546"/>
      <c r="E4" s="546"/>
      <c r="F4" s="546"/>
      <c r="G4" s="546"/>
      <c r="H4" s="546"/>
      <c r="I4" s="546"/>
      <c r="J4" s="546"/>
      <c r="K4" s="546"/>
      <c r="L4" s="546"/>
      <c r="M4" s="546"/>
      <c r="N4" s="546"/>
      <c r="O4" s="546"/>
      <c r="P4" s="546"/>
      <c r="Q4" s="546"/>
      <c r="R4" s="546"/>
      <c r="S4" s="546"/>
      <c r="T4" s="546"/>
      <c r="U4" s="546"/>
      <c r="V4" s="546"/>
      <c r="W4" s="546"/>
      <c r="X4" s="546"/>
      <c r="Y4" s="546"/>
      <c r="Z4" s="546"/>
      <c r="AA4" s="546"/>
      <c r="AB4" s="546"/>
      <c r="AC4" s="546"/>
      <c r="AD4" s="546"/>
      <c r="AE4" s="546"/>
      <c r="AF4" s="546"/>
      <c r="AG4" s="546"/>
      <c r="AH4" s="546"/>
    </row>
    <row r="5" spans="1:34" ht="15" customHeight="1" x14ac:dyDescent="0.25">
      <c r="A5" s="124"/>
      <c r="B5" s="124"/>
      <c r="C5" s="124"/>
      <c r="D5" s="124"/>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row>
    <row r="6" spans="1:34" ht="15" customHeight="1" x14ac:dyDescent="0.15">
      <c r="A6" s="75"/>
      <c r="B6" s="75"/>
      <c r="C6" s="75"/>
      <c r="D6" s="125"/>
      <c r="E6" s="75"/>
      <c r="F6" s="75"/>
      <c r="G6" s="75"/>
      <c r="H6" s="75"/>
      <c r="I6" s="126"/>
      <c r="J6" s="75"/>
      <c r="K6" s="75"/>
      <c r="L6" s="75"/>
      <c r="M6" s="75"/>
      <c r="N6" s="75"/>
      <c r="O6" s="75"/>
      <c r="P6" s="75"/>
      <c r="Q6" s="75"/>
      <c r="R6" s="75"/>
      <c r="S6" s="75"/>
      <c r="T6" s="75"/>
      <c r="U6" s="127"/>
      <c r="V6" s="125"/>
      <c r="W6" s="400"/>
      <c r="X6" s="400"/>
      <c r="Y6" s="400"/>
      <c r="Z6" s="400"/>
      <c r="AA6" s="400"/>
      <c r="AB6" s="400"/>
      <c r="AC6" s="400"/>
      <c r="AD6" s="400"/>
      <c r="AE6" s="400"/>
      <c r="AF6" s="400"/>
      <c r="AG6" s="400"/>
      <c r="AH6" s="400"/>
    </row>
    <row r="7" spans="1:34" ht="15" customHeight="1" x14ac:dyDescent="0.15">
      <c r="A7" s="75"/>
      <c r="B7" s="75"/>
      <c r="C7" s="75"/>
      <c r="D7" s="75"/>
      <c r="E7" s="75"/>
      <c r="F7" s="75"/>
      <c r="G7" s="75"/>
      <c r="H7" s="75"/>
      <c r="I7" s="75"/>
      <c r="J7" s="75"/>
      <c r="K7" s="75"/>
      <c r="L7" s="75"/>
      <c r="M7" s="75"/>
      <c r="N7" s="75"/>
      <c r="O7" s="75"/>
      <c r="P7" s="75"/>
      <c r="Q7" s="75"/>
      <c r="R7" s="75"/>
      <c r="S7" s="75"/>
      <c r="T7" s="75"/>
      <c r="U7" s="75"/>
      <c r="V7" s="75"/>
      <c r="W7" s="75"/>
      <c r="X7" s="75"/>
      <c r="Y7" s="75"/>
      <c r="Z7" s="75"/>
      <c r="AA7" s="75"/>
      <c r="AB7" s="75"/>
      <c r="AC7" s="75"/>
      <c r="AD7" s="547"/>
      <c r="AE7" s="547"/>
      <c r="AF7" s="547"/>
      <c r="AG7" s="547"/>
      <c r="AH7" s="547"/>
    </row>
    <row r="8" spans="1:34" ht="15" customHeight="1" x14ac:dyDescent="0.15">
      <c r="A8" s="421" t="s">
        <v>188</v>
      </c>
      <c r="B8" s="422"/>
      <c r="C8" s="422"/>
      <c r="D8" s="422"/>
      <c r="E8" s="422"/>
      <c r="F8" s="422"/>
      <c r="G8" s="422"/>
      <c r="H8" s="422"/>
      <c r="I8" s="422"/>
      <c r="J8" s="317"/>
      <c r="K8" s="421" t="s">
        <v>247</v>
      </c>
      <c r="L8" s="422"/>
      <c r="M8" s="422"/>
      <c r="N8" s="422"/>
      <c r="O8" s="422"/>
      <c r="P8" s="422"/>
      <c r="Q8" s="422"/>
      <c r="R8" s="422"/>
      <c r="S8" s="422"/>
      <c r="T8" s="422"/>
      <c r="U8" s="422"/>
      <c r="V8" s="317"/>
      <c r="W8" s="421" t="s">
        <v>248</v>
      </c>
      <c r="X8" s="422"/>
      <c r="Y8" s="422"/>
      <c r="Z8" s="422"/>
      <c r="AA8" s="422"/>
      <c r="AB8" s="422"/>
      <c r="AC8" s="422"/>
      <c r="AD8" s="422"/>
      <c r="AE8" s="422"/>
      <c r="AF8" s="422"/>
      <c r="AG8" s="422"/>
      <c r="AH8" s="317"/>
    </row>
    <row r="9" spans="1:34" ht="15" customHeight="1" x14ac:dyDescent="0.15">
      <c r="A9" s="548"/>
      <c r="B9" s="549"/>
      <c r="C9" s="549"/>
      <c r="D9" s="549"/>
      <c r="E9" s="549"/>
      <c r="F9" s="549"/>
      <c r="G9" s="549"/>
      <c r="H9" s="549"/>
      <c r="I9" s="549"/>
      <c r="J9" s="319"/>
      <c r="K9" s="548"/>
      <c r="L9" s="549"/>
      <c r="M9" s="549"/>
      <c r="N9" s="549"/>
      <c r="O9" s="549"/>
      <c r="P9" s="549"/>
      <c r="Q9" s="549"/>
      <c r="R9" s="549"/>
      <c r="S9" s="549"/>
      <c r="T9" s="549"/>
      <c r="U9" s="549"/>
      <c r="V9" s="319"/>
      <c r="W9" s="548"/>
      <c r="X9" s="549"/>
      <c r="Y9" s="549"/>
      <c r="Z9" s="549"/>
      <c r="AA9" s="549"/>
      <c r="AB9" s="549"/>
      <c r="AC9" s="549"/>
      <c r="AD9" s="549"/>
      <c r="AE9" s="549"/>
      <c r="AF9" s="549"/>
      <c r="AG9" s="549"/>
      <c r="AH9" s="319"/>
    </row>
    <row r="10" spans="1:34" ht="15" customHeight="1" x14ac:dyDescent="0.15">
      <c r="A10" s="359"/>
      <c r="B10" s="360"/>
      <c r="C10" s="360"/>
      <c r="D10" s="360"/>
      <c r="E10" s="360"/>
      <c r="F10" s="360"/>
      <c r="G10" s="360"/>
      <c r="H10" s="360"/>
      <c r="I10" s="360"/>
      <c r="J10" s="321"/>
      <c r="K10" s="359"/>
      <c r="L10" s="360"/>
      <c r="M10" s="360"/>
      <c r="N10" s="360"/>
      <c r="O10" s="360"/>
      <c r="P10" s="360"/>
      <c r="Q10" s="360"/>
      <c r="R10" s="360"/>
      <c r="S10" s="360"/>
      <c r="T10" s="360"/>
      <c r="U10" s="360"/>
      <c r="V10" s="321"/>
      <c r="W10" s="359"/>
      <c r="X10" s="360"/>
      <c r="Y10" s="360"/>
      <c r="Z10" s="360"/>
      <c r="AA10" s="360"/>
      <c r="AB10" s="360"/>
      <c r="AC10" s="360"/>
      <c r="AD10" s="360"/>
      <c r="AE10" s="360"/>
      <c r="AF10" s="360"/>
      <c r="AG10" s="360"/>
      <c r="AH10" s="321"/>
    </row>
    <row r="11" spans="1:34" ht="15" customHeight="1" x14ac:dyDescent="0.15">
      <c r="A11" s="527"/>
      <c r="B11" s="528"/>
      <c r="C11" s="528"/>
      <c r="D11" s="528"/>
      <c r="E11" s="528"/>
      <c r="F11" s="528"/>
      <c r="G11" s="528"/>
      <c r="H11" s="528"/>
      <c r="I11" s="528"/>
      <c r="J11" s="544"/>
      <c r="K11" s="527"/>
      <c r="L11" s="528"/>
      <c r="M11" s="528"/>
      <c r="N11" s="528"/>
      <c r="O11" s="528"/>
      <c r="P11" s="528"/>
      <c r="Q11" s="528"/>
      <c r="R11" s="528"/>
      <c r="S11" s="528"/>
      <c r="T11" s="528"/>
      <c r="U11" s="528"/>
      <c r="V11" s="544"/>
      <c r="W11" s="527"/>
      <c r="X11" s="528"/>
      <c r="Y11" s="528"/>
      <c r="Z11" s="528"/>
      <c r="AA11" s="528"/>
      <c r="AB11" s="528"/>
      <c r="AC11" s="528"/>
      <c r="AD11" s="528"/>
      <c r="AE11" s="528"/>
      <c r="AF11" s="528"/>
      <c r="AG11" s="528"/>
      <c r="AH11" s="544"/>
    </row>
    <row r="12" spans="1:34" ht="15" customHeight="1" x14ac:dyDescent="0.15">
      <c r="A12" s="502" t="s">
        <v>190</v>
      </c>
      <c r="B12" s="503"/>
      <c r="C12" s="503"/>
      <c r="D12" s="503"/>
      <c r="E12" s="503"/>
      <c r="F12" s="503"/>
      <c r="G12" s="503"/>
      <c r="H12" s="503"/>
      <c r="I12" s="503"/>
      <c r="J12" s="537"/>
      <c r="K12" s="539" t="s">
        <v>249</v>
      </c>
      <c r="L12" s="545"/>
      <c r="M12" s="538"/>
      <c r="N12" s="538"/>
      <c r="O12" s="538"/>
      <c r="P12" s="538"/>
      <c r="Q12" s="538"/>
      <c r="R12" s="538"/>
      <c r="S12" s="538"/>
      <c r="T12" s="538"/>
      <c r="U12" s="538"/>
      <c r="V12" s="538"/>
      <c r="W12" s="539" t="s">
        <v>249</v>
      </c>
      <c r="X12" s="538"/>
      <c r="Y12" s="538"/>
      <c r="Z12" s="538"/>
      <c r="AA12" s="538"/>
      <c r="AB12" s="538"/>
      <c r="AC12" s="538"/>
      <c r="AD12" s="538"/>
      <c r="AE12" s="538"/>
      <c r="AF12" s="538"/>
      <c r="AG12" s="538"/>
      <c r="AH12" s="538"/>
    </row>
    <row r="13" spans="1:34" ht="15" customHeight="1" x14ac:dyDescent="0.15">
      <c r="A13" s="502" t="s">
        <v>192</v>
      </c>
      <c r="B13" s="503"/>
      <c r="C13" s="503"/>
      <c r="D13" s="503"/>
      <c r="E13" s="503"/>
      <c r="F13" s="503"/>
      <c r="G13" s="503"/>
      <c r="H13" s="503"/>
      <c r="I13" s="503"/>
      <c r="J13" s="537"/>
      <c r="K13" s="539" t="s">
        <v>250</v>
      </c>
      <c r="L13" s="539"/>
      <c r="M13" s="539"/>
      <c r="N13" s="539"/>
      <c r="O13" s="539"/>
      <c r="P13" s="539"/>
      <c r="Q13" s="539"/>
      <c r="R13" s="539"/>
      <c r="S13" s="539"/>
      <c r="T13" s="539"/>
      <c r="U13" s="539"/>
      <c r="V13" s="539"/>
      <c r="W13" s="539" t="s">
        <v>250</v>
      </c>
      <c r="X13" s="539"/>
      <c r="Y13" s="539"/>
      <c r="Z13" s="539"/>
      <c r="AA13" s="539"/>
      <c r="AB13" s="539"/>
      <c r="AC13" s="539"/>
      <c r="AD13" s="539"/>
      <c r="AE13" s="539"/>
      <c r="AF13" s="539"/>
      <c r="AG13" s="539"/>
      <c r="AH13" s="539"/>
    </row>
    <row r="14" spans="1:34" ht="15" customHeight="1" x14ac:dyDescent="0.15">
      <c r="A14" s="502" t="s">
        <v>194</v>
      </c>
      <c r="B14" s="503"/>
      <c r="C14" s="503"/>
      <c r="D14" s="503"/>
      <c r="E14" s="503"/>
      <c r="F14" s="503"/>
      <c r="G14" s="503"/>
      <c r="H14" s="503"/>
      <c r="I14" s="503"/>
      <c r="J14" s="537"/>
      <c r="K14" s="539" t="s">
        <v>251</v>
      </c>
      <c r="L14" s="539"/>
      <c r="M14" s="539"/>
      <c r="N14" s="539"/>
      <c r="O14" s="539"/>
      <c r="P14" s="539"/>
      <c r="Q14" s="539"/>
      <c r="R14" s="539"/>
      <c r="S14" s="539"/>
      <c r="T14" s="539"/>
      <c r="U14" s="539"/>
      <c r="V14" s="539"/>
      <c r="W14" s="539" t="s">
        <v>251</v>
      </c>
      <c r="X14" s="539"/>
      <c r="Y14" s="539"/>
      <c r="Z14" s="539"/>
      <c r="AA14" s="539"/>
      <c r="AB14" s="539"/>
      <c r="AC14" s="539"/>
      <c r="AD14" s="539"/>
      <c r="AE14" s="539"/>
      <c r="AF14" s="539"/>
      <c r="AG14" s="539"/>
      <c r="AH14" s="539"/>
    </row>
    <row r="15" spans="1:34" ht="15" customHeight="1" x14ac:dyDescent="0.15">
      <c r="A15" s="502" t="s">
        <v>196</v>
      </c>
      <c r="B15" s="503"/>
      <c r="C15" s="503"/>
      <c r="D15" s="503"/>
      <c r="E15" s="503"/>
      <c r="F15" s="503"/>
      <c r="G15" s="503"/>
      <c r="H15" s="503"/>
      <c r="I15" s="503"/>
      <c r="J15" s="537"/>
      <c r="K15" s="538" t="s">
        <v>252</v>
      </c>
      <c r="L15" s="539"/>
      <c r="M15" s="539"/>
      <c r="N15" s="539"/>
      <c r="O15" s="539"/>
      <c r="P15" s="539"/>
      <c r="Q15" s="539"/>
      <c r="R15" s="539"/>
      <c r="S15" s="539"/>
      <c r="T15" s="539"/>
      <c r="U15" s="539"/>
      <c r="V15" s="539"/>
      <c r="W15" s="538" t="s">
        <v>253</v>
      </c>
      <c r="X15" s="539"/>
      <c r="Y15" s="539"/>
      <c r="Z15" s="539"/>
      <c r="AA15" s="539"/>
      <c r="AB15" s="539"/>
      <c r="AC15" s="539"/>
      <c r="AD15" s="539"/>
      <c r="AE15" s="539"/>
      <c r="AF15" s="539"/>
      <c r="AG15" s="539"/>
      <c r="AH15" s="539"/>
    </row>
    <row r="16" spans="1:34" ht="15" customHeight="1" x14ac:dyDescent="0.15">
      <c r="A16" s="540" t="s">
        <v>198</v>
      </c>
      <c r="B16" s="541"/>
      <c r="C16" s="541"/>
      <c r="D16" s="541"/>
      <c r="E16" s="541"/>
      <c r="F16" s="541"/>
      <c r="G16" s="541"/>
      <c r="H16" s="541"/>
      <c r="I16" s="541"/>
      <c r="J16" s="542"/>
      <c r="K16" s="543" t="s">
        <v>199</v>
      </c>
      <c r="L16" s="543"/>
      <c r="M16" s="543"/>
      <c r="N16" s="543"/>
      <c r="O16" s="543"/>
      <c r="P16" s="543"/>
      <c r="Q16" s="543"/>
      <c r="R16" s="543"/>
      <c r="S16" s="543"/>
      <c r="T16" s="543"/>
      <c r="U16" s="543"/>
      <c r="V16" s="543"/>
      <c r="W16" s="543" t="s">
        <v>199</v>
      </c>
      <c r="X16" s="543"/>
      <c r="Y16" s="543"/>
      <c r="Z16" s="543"/>
      <c r="AA16" s="543"/>
      <c r="AB16" s="543"/>
      <c r="AC16" s="543"/>
      <c r="AD16" s="543"/>
      <c r="AE16" s="543"/>
      <c r="AF16" s="543"/>
      <c r="AG16" s="543"/>
      <c r="AH16" s="543"/>
    </row>
    <row r="17" spans="1:34" ht="15" customHeight="1" x14ac:dyDescent="0.15">
      <c r="A17" s="435"/>
      <c r="B17" s="436"/>
      <c r="C17" s="436"/>
      <c r="D17" s="436"/>
      <c r="E17" s="436"/>
      <c r="F17" s="436"/>
      <c r="G17" s="436"/>
      <c r="H17" s="436"/>
      <c r="I17" s="436"/>
      <c r="J17" s="437"/>
      <c r="K17" s="518"/>
      <c r="L17" s="519"/>
      <c r="M17" s="519"/>
      <c r="N17" s="520"/>
      <c r="O17" s="518"/>
      <c r="P17" s="519"/>
      <c r="Q17" s="519"/>
      <c r="R17" s="520"/>
      <c r="S17" s="518"/>
      <c r="T17" s="519"/>
      <c r="U17" s="519"/>
      <c r="V17" s="520"/>
      <c r="W17" s="518"/>
      <c r="X17" s="519"/>
      <c r="Y17" s="519"/>
      <c r="Z17" s="520"/>
      <c r="AA17" s="518"/>
      <c r="AB17" s="519"/>
      <c r="AC17" s="519"/>
      <c r="AD17" s="520"/>
      <c r="AE17" s="518"/>
      <c r="AF17" s="519"/>
      <c r="AG17" s="519"/>
      <c r="AH17" s="520"/>
    </row>
    <row r="18" spans="1:34" ht="15" customHeight="1" x14ac:dyDescent="0.15">
      <c r="A18" s="438"/>
      <c r="B18" s="439"/>
      <c r="C18" s="439"/>
      <c r="D18" s="439"/>
      <c r="E18" s="439"/>
      <c r="F18" s="439"/>
      <c r="G18" s="439"/>
      <c r="H18" s="439"/>
      <c r="I18" s="439"/>
      <c r="J18" s="440"/>
      <c r="K18" s="521"/>
      <c r="L18" s="522"/>
      <c r="M18" s="522"/>
      <c r="N18" s="523"/>
      <c r="O18" s="521"/>
      <c r="P18" s="522"/>
      <c r="Q18" s="522"/>
      <c r="R18" s="523"/>
      <c r="S18" s="521"/>
      <c r="T18" s="522"/>
      <c r="U18" s="522"/>
      <c r="V18" s="523"/>
      <c r="W18" s="521"/>
      <c r="X18" s="522"/>
      <c r="Y18" s="522"/>
      <c r="Z18" s="523"/>
      <c r="AA18" s="521"/>
      <c r="AB18" s="522"/>
      <c r="AC18" s="522"/>
      <c r="AD18" s="523"/>
      <c r="AE18" s="521"/>
      <c r="AF18" s="522"/>
      <c r="AG18" s="522"/>
      <c r="AH18" s="523"/>
    </row>
    <row r="19" spans="1:34" ht="15" customHeight="1" x14ac:dyDescent="0.15">
      <c r="A19" s="472" t="s">
        <v>200</v>
      </c>
      <c r="B19" s="473"/>
      <c r="C19" s="474"/>
      <c r="D19" s="527" t="s">
        <v>201</v>
      </c>
      <c r="E19" s="528"/>
      <c r="F19" s="528"/>
      <c r="G19" s="528"/>
      <c r="H19" s="528"/>
      <c r="I19" s="529" t="s">
        <v>254</v>
      </c>
      <c r="J19" s="530"/>
      <c r="K19" s="534" t="s">
        <v>255</v>
      </c>
      <c r="L19" s="535"/>
      <c r="M19" s="535"/>
      <c r="N19" s="536"/>
      <c r="O19" s="534"/>
      <c r="P19" s="535"/>
      <c r="Q19" s="535"/>
      <c r="R19" s="536"/>
      <c r="S19" s="534"/>
      <c r="T19" s="535"/>
      <c r="U19" s="535"/>
      <c r="V19" s="536"/>
      <c r="W19" s="534" t="s">
        <v>256</v>
      </c>
      <c r="X19" s="535"/>
      <c r="Y19" s="535"/>
      <c r="Z19" s="536"/>
      <c r="AA19" s="534"/>
      <c r="AB19" s="535"/>
      <c r="AC19" s="535"/>
      <c r="AD19" s="536"/>
      <c r="AE19" s="534"/>
      <c r="AF19" s="535"/>
      <c r="AG19" s="535"/>
      <c r="AH19" s="536"/>
    </row>
    <row r="20" spans="1:34" ht="15" customHeight="1" x14ac:dyDescent="0.15">
      <c r="A20" s="475"/>
      <c r="B20" s="476"/>
      <c r="C20" s="477"/>
      <c r="D20" s="502" t="s">
        <v>203</v>
      </c>
      <c r="E20" s="503"/>
      <c r="F20" s="503"/>
      <c r="G20" s="503"/>
      <c r="H20" s="503"/>
      <c r="I20" s="504" t="s">
        <v>204</v>
      </c>
      <c r="J20" s="505"/>
      <c r="K20" s="512">
        <v>1</v>
      </c>
      <c r="L20" s="513"/>
      <c r="M20" s="513"/>
      <c r="N20" s="514"/>
      <c r="O20" s="512"/>
      <c r="P20" s="513"/>
      <c r="Q20" s="513"/>
      <c r="R20" s="514"/>
      <c r="S20" s="512"/>
      <c r="T20" s="513"/>
      <c r="U20" s="513"/>
      <c r="V20" s="514"/>
      <c r="W20" s="512">
        <v>1</v>
      </c>
      <c r="X20" s="513"/>
      <c r="Y20" s="513"/>
      <c r="Z20" s="514"/>
      <c r="AA20" s="512"/>
      <c r="AB20" s="513"/>
      <c r="AC20" s="513"/>
      <c r="AD20" s="514"/>
      <c r="AE20" s="512"/>
      <c r="AF20" s="513"/>
      <c r="AG20" s="513"/>
      <c r="AH20" s="514"/>
    </row>
    <row r="21" spans="1:34" ht="15" customHeight="1" x14ac:dyDescent="0.15">
      <c r="A21" s="475"/>
      <c r="B21" s="476"/>
      <c r="C21" s="477"/>
      <c r="D21" s="502"/>
      <c r="E21" s="503"/>
      <c r="F21" s="503"/>
      <c r="G21" s="503"/>
      <c r="H21" s="503"/>
      <c r="I21" s="504"/>
      <c r="J21" s="505"/>
      <c r="K21" s="509"/>
      <c r="L21" s="510"/>
      <c r="M21" s="510"/>
      <c r="N21" s="511"/>
      <c r="O21" s="509"/>
      <c r="P21" s="510"/>
      <c r="Q21" s="510"/>
      <c r="R21" s="511"/>
      <c r="S21" s="509"/>
      <c r="T21" s="510"/>
      <c r="U21" s="510"/>
      <c r="V21" s="511"/>
      <c r="W21" s="509"/>
      <c r="X21" s="510"/>
      <c r="Y21" s="510"/>
      <c r="Z21" s="511"/>
      <c r="AA21" s="509"/>
      <c r="AB21" s="510"/>
      <c r="AC21" s="510"/>
      <c r="AD21" s="511"/>
      <c r="AE21" s="509"/>
      <c r="AF21" s="510"/>
      <c r="AG21" s="510"/>
      <c r="AH21" s="511"/>
    </row>
    <row r="22" spans="1:34" ht="15" customHeight="1" x14ac:dyDescent="0.15">
      <c r="A22" s="524"/>
      <c r="B22" s="525"/>
      <c r="C22" s="526"/>
      <c r="D22" s="502"/>
      <c r="E22" s="503"/>
      <c r="F22" s="503"/>
      <c r="G22" s="503"/>
      <c r="H22" s="503"/>
      <c r="I22" s="504"/>
      <c r="J22" s="505"/>
      <c r="K22" s="506"/>
      <c r="L22" s="507"/>
      <c r="M22" s="507"/>
      <c r="N22" s="508"/>
      <c r="O22" s="506"/>
      <c r="P22" s="507"/>
      <c r="Q22" s="507"/>
      <c r="R22" s="508"/>
      <c r="S22" s="506"/>
      <c r="T22" s="507"/>
      <c r="U22" s="507"/>
      <c r="V22" s="508"/>
      <c r="W22" s="506"/>
      <c r="X22" s="507"/>
      <c r="Y22" s="507"/>
      <c r="Z22" s="508"/>
      <c r="AA22" s="506"/>
      <c r="AB22" s="507"/>
      <c r="AC22" s="507"/>
      <c r="AD22" s="508"/>
      <c r="AE22" s="506"/>
      <c r="AF22" s="507"/>
      <c r="AG22" s="507"/>
      <c r="AH22" s="508"/>
    </row>
    <row r="23" spans="1:34" ht="15" customHeight="1" x14ac:dyDescent="0.15">
      <c r="A23" s="435"/>
      <c r="B23" s="436"/>
      <c r="C23" s="436"/>
      <c r="D23" s="436"/>
      <c r="E23" s="436"/>
      <c r="F23" s="436"/>
      <c r="G23" s="436"/>
      <c r="H23" s="436"/>
      <c r="I23" s="436"/>
      <c r="J23" s="437"/>
      <c r="K23" s="442"/>
      <c r="L23" s="443"/>
      <c r="M23" s="443"/>
      <c r="N23" s="444"/>
      <c r="O23" s="429"/>
      <c r="P23" s="430"/>
      <c r="Q23" s="430"/>
      <c r="R23" s="431"/>
      <c r="S23" s="429"/>
      <c r="T23" s="430"/>
      <c r="U23" s="430"/>
      <c r="V23" s="431"/>
      <c r="W23" s="442"/>
      <c r="X23" s="443"/>
      <c r="Y23" s="443"/>
      <c r="Z23" s="444"/>
      <c r="AA23" s="429"/>
      <c r="AB23" s="430"/>
      <c r="AC23" s="430"/>
      <c r="AD23" s="431"/>
      <c r="AE23" s="429"/>
      <c r="AF23" s="430"/>
      <c r="AG23" s="430"/>
      <c r="AH23" s="431"/>
    </row>
    <row r="24" spans="1:34" ht="15" customHeight="1" x14ac:dyDescent="0.15">
      <c r="A24" s="438"/>
      <c r="B24" s="439"/>
      <c r="C24" s="439"/>
      <c r="D24" s="439"/>
      <c r="E24" s="439"/>
      <c r="F24" s="439"/>
      <c r="G24" s="439"/>
      <c r="H24" s="439"/>
      <c r="I24" s="439"/>
      <c r="J24" s="440"/>
      <c r="K24" s="445"/>
      <c r="L24" s="446"/>
      <c r="M24" s="446"/>
      <c r="N24" s="447"/>
      <c r="O24" s="432"/>
      <c r="P24" s="433"/>
      <c r="Q24" s="433"/>
      <c r="R24" s="434"/>
      <c r="S24" s="432"/>
      <c r="T24" s="433"/>
      <c r="U24" s="433"/>
      <c r="V24" s="434"/>
      <c r="W24" s="445"/>
      <c r="X24" s="446"/>
      <c r="Y24" s="446"/>
      <c r="Z24" s="447"/>
      <c r="AA24" s="432"/>
      <c r="AB24" s="433"/>
      <c r="AC24" s="433"/>
      <c r="AD24" s="434"/>
      <c r="AE24" s="432"/>
      <c r="AF24" s="433"/>
      <c r="AG24" s="433"/>
      <c r="AH24" s="434"/>
    </row>
    <row r="25" spans="1:34" ht="15" customHeight="1" x14ac:dyDescent="0.15">
      <c r="A25" s="421" t="s">
        <v>205</v>
      </c>
      <c r="B25" s="422"/>
      <c r="C25" s="422"/>
      <c r="D25" s="422"/>
      <c r="E25" s="422"/>
      <c r="F25" s="422"/>
      <c r="G25" s="422"/>
      <c r="H25" s="422"/>
      <c r="I25" s="422" t="s">
        <v>202</v>
      </c>
      <c r="J25" s="317"/>
      <c r="K25" s="496">
        <v>53</v>
      </c>
      <c r="L25" s="497"/>
      <c r="M25" s="497"/>
      <c r="N25" s="498"/>
      <c r="O25" s="737"/>
      <c r="P25" s="738"/>
      <c r="Q25" s="738"/>
      <c r="R25" s="739"/>
      <c r="S25" s="613"/>
      <c r="T25" s="614"/>
      <c r="U25" s="614"/>
      <c r="V25" s="615"/>
      <c r="W25" s="496">
        <v>54</v>
      </c>
      <c r="X25" s="497"/>
      <c r="Y25" s="497"/>
      <c r="Z25" s="498"/>
      <c r="AA25" s="490"/>
      <c r="AB25" s="491"/>
      <c r="AC25" s="491"/>
      <c r="AD25" s="492"/>
      <c r="AE25" s="490"/>
      <c r="AF25" s="491"/>
      <c r="AG25" s="491"/>
      <c r="AH25" s="492"/>
    </row>
    <row r="26" spans="1:34" ht="15" customHeight="1" x14ac:dyDescent="0.15">
      <c r="A26" s="359"/>
      <c r="B26" s="360"/>
      <c r="C26" s="360"/>
      <c r="D26" s="360"/>
      <c r="E26" s="360"/>
      <c r="F26" s="360"/>
      <c r="G26" s="360"/>
      <c r="H26" s="360"/>
      <c r="I26" s="360"/>
      <c r="J26" s="321"/>
      <c r="K26" s="499"/>
      <c r="L26" s="500"/>
      <c r="M26" s="500"/>
      <c r="N26" s="501"/>
      <c r="O26" s="740"/>
      <c r="P26" s="741"/>
      <c r="Q26" s="741"/>
      <c r="R26" s="742"/>
      <c r="S26" s="616"/>
      <c r="T26" s="617"/>
      <c r="U26" s="617"/>
      <c r="V26" s="618"/>
      <c r="W26" s="499"/>
      <c r="X26" s="500"/>
      <c r="Y26" s="500"/>
      <c r="Z26" s="501"/>
      <c r="AA26" s="493"/>
      <c r="AB26" s="494"/>
      <c r="AC26" s="494"/>
      <c r="AD26" s="495"/>
      <c r="AE26" s="493"/>
      <c r="AF26" s="494"/>
      <c r="AG26" s="494"/>
      <c r="AH26" s="495"/>
    </row>
    <row r="27" spans="1:34" ht="15" customHeight="1" x14ac:dyDescent="0.15">
      <c r="A27" s="421" t="s">
        <v>206</v>
      </c>
      <c r="B27" s="422"/>
      <c r="C27" s="422"/>
      <c r="D27" s="422"/>
      <c r="E27" s="422"/>
      <c r="F27" s="422"/>
      <c r="G27" s="422"/>
      <c r="H27" s="422"/>
      <c r="I27" s="422" t="s">
        <v>202</v>
      </c>
      <c r="J27" s="317"/>
      <c r="K27" s="496">
        <v>45</v>
      </c>
      <c r="L27" s="497"/>
      <c r="M27" s="497"/>
      <c r="N27" s="498"/>
      <c r="O27" s="737"/>
      <c r="P27" s="738"/>
      <c r="Q27" s="738"/>
      <c r="R27" s="739"/>
      <c r="S27" s="613"/>
      <c r="T27" s="614"/>
      <c r="U27" s="614"/>
      <c r="V27" s="615"/>
      <c r="W27" s="496">
        <v>46</v>
      </c>
      <c r="X27" s="497"/>
      <c r="Y27" s="497"/>
      <c r="Z27" s="498"/>
      <c r="AA27" s="490"/>
      <c r="AB27" s="491"/>
      <c r="AC27" s="491"/>
      <c r="AD27" s="492"/>
      <c r="AE27" s="490"/>
      <c r="AF27" s="491"/>
      <c r="AG27" s="491"/>
      <c r="AH27" s="492"/>
    </row>
    <row r="28" spans="1:34" ht="15" customHeight="1" x14ac:dyDescent="0.15">
      <c r="A28" s="359"/>
      <c r="B28" s="360"/>
      <c r="C28" s="360"/>
      <c r="D28" s="360"/>
      <c r="E28" s="360"/>
      <c r="F28" s="360"/>
      <c r="G28" s="360"/>
      <c r="H28" s="360"/>
      <c r="I28" s="360"/>
      <c r="J28" s="321"/>
      <c r="K28" s="499"/>
      <c r="L28" s="500"/>
      <c r="M28" s="500"/>
      <c r="N28" s="501"/>
      <c r="O28" s="740"/>
      <c r="P28" s="741"/>
      <c r="Q28" s="741"/>
      <c r="R28" s="742"/>
      <c r="S28" s="616"/>
      <c r="T28" s="617"/>
      <c r="U28" s="617"/>
      <c r="V28" s="618"/>
      <c r="W28" s="499"/>
      <c r="X28" s="500"/>
      <c r="Y28" s="500"/>
      <c r="Z28" s="501"/>
      <c r="AA28" s="493"/>
      <c r="AB28" s="494"/>
      <c r="AC28" s="494"/>
      <c r="AD28" s="495"/>
      <c r="AE28" s="493"/>
      <c r="AF28" s="494"/>
      <c r="AG28" s="494"/>
      <c r="AH28" s="495"/>
    </row>
    <row r="29" spans="1:34" ht="15" customHeight="1" x14ac:dyDescent="0.15">
      <c r="A29" s="435"/>
      <c r="B29" s="436"/>
      <c r="C29" s="436"/>
      <c r="D29" s="436"/>
      <c r="E29" s="436"/>
      <c r="F29" s="436"/>
      <c r="G29" s="436"/>
      <c r="H29" s="436"/>
      <c r="I29" s="436"/>
      <c r="J29" s="437"/>
      <c r="K29" s="734"/>
      <c r="L29" s="735"/>
      <c r="M29" s="735"/>
      <c r="N29" s="736"/>
      <c r="O29" s="734"/>
      <c r="P29" s="735"/>
      <c r="Q29" s="735"/>
      <c r="R29" s="736"/>
      <c r="S29" s="737"/>
      <c r="T29" s="738"/>
      <c r="U29" s="738"/>
      <c r="V29" s="739"/>
      <c r="W29" s="734"/>
      <c r="X29" s="735"/>
      <c r="Y29" s="735"/>
      <c r="Z29" s="736"/>
      <c r="AA29" s="442"/>
      <c r="AB29" s="443"/>
      <c r="AC29" s="443"/>
      <c r="AD29" s="444"/>
      <c r="AE29" s="429"/>
      <c r="AF29" s="430"/>
      <c r="AG29" s="430"/>
      <c r="AH29" s="431"/>
    </row>
    <row r="30" spans="1:34" ht="15" customHeight="1" x14ac:dyDescent="0.15">
      <c r="A30" s="472" t="s">
        <v>203</v>
      </c>
      <c r="B30" s="473"/>
      <c r="C30" s="474"/>
      <c r="D30" s="478" t="s">
        <v>257</v>
      </c>
      <c r="E30" s="479"/>
      <c r="F30" s="479"/>
      <c r="G30" s="479"/>
      <c r="H30" s="479"/>
      <c r="I30" s="479"/>
      <c r="J30" s="480"/>
      <c r="K30" s="481">
        <v>0.98</v>
      </c>
      <c r="L30" s="482"/>
      <c r="M30" s="482"/>
      <c r="N30" s="483"/>
      <c r="O30" s="589"/>
      <c r="P30" s="590"/>
      <c r="Q30" s="590"/>
      <c r="R30" s="591"/>
      <c r="S30" s="589"/>
      <c r="T30" s="590"/>
      <c r="U30" s="590"/>
      <c r="V30" s="591"/>
      <c r="W30" s="481">
        <v>0.97599999999999998</v>
      </c>
      <c r="X30" s="482"/>
      <c r="Y30" s="482"/>
      <c r="Z30" s="483"/>
      <c r="AA30" s="487"/>
      <c r="AB30" s="488"/>
      <c r="AC30" s="488"/>
      <c r="AD30" s="489"/>
      <c r="AE30" s="487"/>
      <c r="AF30" s="488"/>
      <c r="AG30" s="488"/>
      <c r="AH30" s="489"/>
    </row>
    <row r="31" spans="1:34" ht="15" customHeight="1" x14ac:dyDescent="0.15">
      <c r="A31" s="475"/>
      <c r="B31" s="476"/>
      <c r="C31" s="477"/>
      <c r="D31" s="466" t="s">
        <v>208</v>
      </c>
      <c r="E31" s="467"/>
      <c r="F31" s="467"/>
      <c r="G31" s="467"/>
      <c r="H31" s="467"/>
      <c r="I31" s="467"/>
      <c r="J31" s="468"/>
      <c r="K31" s="484"/>
      <c r="L31" s="485"/>
      <c r="M31" s="485"/>
      <c r="N31" s="486"/>
      <c r="O31" s="592"/>
      <c r="P31" s="593"/>
      <c r="Q31" s="593"/>
      <c r="R31" s="594"/>
      <c r="S31" s="598"/>
      <c r="T31" s="599"/>
      <c r="U31" s="599"/>
      <c r="V31" s="600"/>
      <c r="W31" s="484"/>
      <c r="X31" s="485"/>
      <c r="Y31" s="485"/>
      <c r="Z31" s="486"/>
      <c r="AA31" s="454"/>
      <c r="AB31" s="455"/>
      <c r="AC31" s="455"/>
      <c r="AD31" s="456"/>
      <c r="AE31" s="454"/>
      <c r="AF31" s="455"/>
      <c r="AG31" s="455"/>
      <c r="AH31" s="456"/>
    </row>
    <row r="32" spans="1:34" ht="15" customHeight="1" x14ac:dyDescent="0.15">
      <c r="A32" s="475"/>
      <c r="B32" s="476"/>
      <c r="C32" s="477"/>
      <c r="D32" s="457"/>
      <c r="E32" s="458"/>
      <c r="F32" s="458"/>
      <c r="G32" s="458"/>
      <c r="H32" s="458"/>
      <c r="I32" s="458"/>
      <c r="J32" s="459"/>
      <c r="K32" s="469"/>
      <c r="L32" s="470"/>
      <c r="M32" s="470"/>
      <c r="N32" s="471"/>
      <c r="O32" s="469"/>
      <c r="P32" s="470"/>
      <c r="Q32" s="470"/>
      <c r="R32" s="471"/>
      <c r="S32" s="448"/>
      <c r="T32" s="449"/>
      <c r="U32" s="449"/>
      <c r="V32" s="450"/>
      <c r="W32" s="448"/>
      <c r="X32" s="449"/>
      <c r="Y32" s="449"/>
      <c r="Z32" s="450"/>
      <c r="AA32" s="448"/>
      <c r="AB32" s="449"/>
      <c r="AC32" s="449"/>
      <c r="AD32" s="450"/>
      <c r="AE32" s="448"/>
      <c r="AF32" s="449"/>
      <c r="AG32" s="449"/>
      <c r="AH32" s="450"/>
    </row>
    <row r="33" spans="1:34" ht="15" customHeight="1" x14ac:dyDescent="0.15">
      <c r="A33" s="475"/>
      <c r="B33" s="476"/>
      <c r="C33" s="477"/>
      <c r="D33" s="466"/>
      <c r="E33" s="467"/>
      <c r="F33" s="467"/>
      <c r="G33" s="467"/>
      <c r="H33" s="467"/>
      <c r="I33" s="467"/>
      <c r="J33" s="468"/>
      <c r="K33" s="451"/>
      <c r="L33" s="452"/>
      <c r="M33" s="452"/>
      <c r="N33" s="453"/>
      <c r="O33" s="451"/>
      <c r="P33" s="452"/>
      <c r="Q33" s="452"/>
      <c r="R33" s="453"/>
      <c r="S33" s="454"/>
      <c r="T33" s="455"/>
      <c r="U33" s="455"/>
      <c r="V33" s="456"/>
      <c r="W33" s="451"/>
      <c r="X33" s="452"/>
      <c r="Y33" s="452"/>
      <c r="Z33" s="453"/>
      <c r="AA33" s="454"/>
      <c r="AB33" s="455"/>
      <c r="AC33" s="455"/>
      <c r="AD33" s="456"/>
      <c r="AE33" s="454"/>
      <c r="AF33" s="455"/>
      <c r="AG33" s="455"/>
      <c r="AH33" s="456"/>
    </row>
    <row r="34" spans="1:34" ht="15" customHeight="1" x14ac:dyDescent="0.15">
      <c r="A34" s="475"/>
      <c r="B34" s="476"/>
      <c r="C34" s="477"/>
      <c r="D34" s="463"/>
      <c r="E34" s="464"/>
      <c r="F34" s="464"/>
      <c r="G34" s="464"/>
      <c r="H34" s="464"/>
      <c r="I34" s="464"/>
      <c r="J34" s="465"/>
      <c r="K34" s="448"/>
      <c r="L34" s="449"/>
      <c r="M34" s="449"/>
      <c r="N34" s="450"/>
      <c r="O34" s="448"/>
      <c r="P34" s="449"/>
      <c r="Q34" s="449"/>
      <c r="R34" s="450"/>
      <c r="S34" s="448"/>
      <c r="T34" s="449"/>
      <c r="U34" s="449"/>
      <c r="V34" s="450"/>
      <c r="W34" s="448"/>
      <c r="X34" s="449"/>
      <c r="Y34" s="449"/>
      <c r="Z34" s="450"/>
      <c r="AA34" s="448"/>
      <c r="AB34" s="449"/>
      <c r="AC34" s="449"/>
      <c r="AD34" s="450"/>
      <c r="AE34" s="448"/>
      <c r="AF34" s="449"/>
      <c r="AG34" s="449"/>
      <c r="AH34" s="450"/>
    </row>
    <row r="35" spans="1:34" ht="15" customHeight="1" x14ac:dyDescent="0.15">
      <c r="A35" s="475"/>
      <c r="B35" s="476"/>
      <c r="C35" s="477"/>
      <c r="D35" s="466"/>
      <c r="E35" s="467"/>
      <c r="F35" s="467"/>
      <c r="G35" s="467"/>
      <c r="H35" s="467"/>
      <c r="I35" s="467"/>
      <c r="J35" s="468"/>
      <c r="K35" s="451"/>
      <c r="L35" s="452"/>
      <c r="M35" s="452"/>
      <c r="N35" s="453"/>
      <c r="O35" s="454"/>
      <c r="P35" s="455"/>
      <c r="Q35" s="455"/>
      <c r="R35" s="456"/>
      <c r="S35" s="454"/>
      <c r="T35" s="455"/>
      <c r="U35" s="455"/>
      <c r="V35" s="456"/>
      <c r="W35" s="451"/>
      <c r="X35" s="452"/>
      <c r="Y35" s="452"/>
      <c r="Z35" s="453"/>
      <c r="AA35" s="454"/>
      <c r="AB35" s="455"/>
      <c r="AC35" s="455"/>
      <c r="AD35" s="456"/>
      <c r="AE35" s="454"/>
      <c r="AF35" s="455"/>
      <c r="AG35" s="455"/>
      <c r="AH35" s="456"/>
    </row>
    <row r="36" spans="1:34" ht="15" customHeight="1" x14ac:dyDescent="0.15">
      <c r="A36" s="457" t="s">
        <v>204</v>
      </c>
      <c r="B36" s="458"/>
      <c r="C36" s="459"/>
      <c r="D36" s="463"/>
      <c r="E36" s="464"/>
      <c r="F36" s="464"/>
      <c r="G36" s="464"/>
      <c r="H36" s="464"/>
      <c r="I36" s="464"/>
      <c r="J36" s="465"/>
      <c r="K36" s="448"/>
      <c r="L36" s="449"/>
      <c r="M36" s="449"/>
      <c r="N36" s="450"/>
      <c r="O36" s="448"/>
      <c r="P36" s="449"/>
      <c r="Q36" s="449"/>
      <c r="R36" s="450"/>
      <c r="S36" s="448" t="str">
        <f>IF(S19="","","("&amp;S19*7&amp;"A)")</f>
        <v/>
      </c>
      <c r="T36" s="449"/>
      <c r="U36" s="449"/>
      <c r="V36" s="450"/>
      <c r="W36" s="448"/>
      <c r="X36" s="449"/>
      <c r="Y36" s="449"/>
      <c r="Z36" s="450"/>
      <c r="AA36" s="448"/>
      <c r="AB36" s="449"/>
      <c r="AC36" s="449"/>
      <c r="AD36" s="450"/>
      <c r="AE36" s="448"/>
      <c r="AF36" s="449"/>
      <c r="AG36" s="449"/>
      <c r="AH36" s="450"/>
    </row>
    <row r="37" spans="1:34" ht="15" customHeight="1" x14ac:dyDescent="0.15">
      <c r="A37" s="460"/>
      <c r="B37" s="461"/>
      <c r="C37" s="462"/>
      <c r="D37" s="466"/>
      <c r="E37" s="467"/>
      <c r="F37" s="467"/>
      <c r="G37" s="467"/>
      <c r="H37" s="467"/>
      <c r="I37" s="467"/>
      <c r="J37" s="468"/>
      <c r="K37" s="451"/>
      <c r="L37" s="452"/>
      <c r="M37" s="452"/>
      <c r="N37" s="453"/>
      <c r="O37" s="454"/>
      <c r="P37" s="455"/>
      <c r="Q37" s="455"/>
      <c r="R37" s="456"/>
      <c r="S37" s="454"/>
      <c r="T37" s="455"/>
      <c r="U37" s="455"/>
      <c r="V37" s="456"/>
      <c r="W37" s="451"/>
      <c r="X37" s="452"/>
      <c r="Y37" s="452"/>
      <c r="Z37" s="453"/>
      <c r="AA37" s="454"/>
      <c r="AB37" s="455"/>
      <c r="AC37" s="455"/>
      <c r="AD37" s="456"/>
      <c r="AE37" s="454"/>
      <c r="AF37" s="455"/>
      <c r="AG37" s="455"/>
      <c r="AH37" s="456"/>
    </row>
    <row r="38" spans="1:34" ht="15" customHeight="1" x14ac:dyDescent="0.15">
      <c r="A38" s="435"/>
      <c r="B38" s="436"/>
      <c r="C38" s="436"/>
      <c r="D38" s="436"/>
      <c r="E38" s="436"/>
      <c r="F38" s="436"/>
      <c r="G38" s="436"/>
      <c r="H38" s="436"/>
      <c r="I38" s="436"/>
      <c r="J38" s="437"/>
      <c r="K38" s="442"/>
      <c r="L38" s="443"/>
      <c r="M38" s="443"/>
      <c r="N38" s="444"/>
      <c r="O38" s="442"/>
      <c r="P38" s="443"/>
      <c r="Q38" s="443"/>
      <c r="R38" s="444"/>
      <c r="S38" s="429"/>
      <c r="T38" s="430"/>
      <c r="U38" s="430"/>
      <c r="V38" s="431"/>
      <c r="W38" s="442"/>
      <c r="X38" s="443"/>
      <c r="Y38" s="443"/>
      <c r="Z38" s="444"/>
      <c r="AA38" s="442"/>
      <c r="AB38" s="443"/>
      <c r="AC38" s="443"/>
      <c r="AD38" s="444"/>
      <c r="AE38" s="429"/>
      <c r="AF38" s="430"/>
      <c r="AG38" s="430"/>
      <c r="AH38" s="431"/>
    </row>
    <row r="39" spans="1:34" ht="15" customHeight="1" x14ac:dyDescent="0.15">
      <c r="A39" s="438"/>
      <c r="B39" s="439"/>
      <c r="C39" s="439"/>
      <c r="D39" s="439"/>
      <c r="E39" s="439"/>
      <c r="F39" s="439"/>
      <c r="G39" s="439"/>
      <c r="H39" s="439"/>
      <c r="I39" s="439"/>
      <c r="J39" s="440"/>
      <c r="K39" s="445"/>
      <c r="L39" s="446"/>
      <c r="M39" s="446"/>
      <c r="N39" s="447"/>
      <c r="O39" s="445"/>
      <c r="P39" s="446"/>
      <c r="Q39" s="446"/>
      <c r="R39" s="447"/>
      <c r="S39" s="432"/>
      <c r="T39" s="433"/>
      <c r="U39" s="433"/>
      <c r="V39" s="434"/>
      <c r="W39" s="445"/>
      <c r="X39" s="446"/>
      <c r="Y39" s="446"/>
      <c r="Z39" s="447"/>
      <c r="AA39" s="445"/>
      <c r="AB39" s="446"/>
      <c r="AC39" s="446"/>
      <c r="AD39" s="447"/>
      <c r="AE39" s="432"/>
      <c r="AF39" s="433"/>
      <c r="AG39" s="433"/>
      <c r="AH39" s="434"/>
    </row>
    <row r="40" spans="1:34" ht="15" customHeight="1" x14ac:dyDescent="0.15">
      <c r="A40" s="435" t="s">
        <v>210</v>
      </c>
      <c r="B40" s="436"/>
      <c r="C40" s="436"/>
      <c r="D40" s="436"/>
      <c r="E40" s="436"/>
      <c r="F40" s="436"/>
      <c r="G40" s="436"/>
      <c r="H40" s="436"/>
      <c r="I40" s="436"/>
      <c r="J40" s="437"/>
      <c r="K40" s="429"/>
      <c r="L40" s="430"/>
      <c r="M40" s="430"/>
      <c r="N40" s="431"/>
      <c r="O40" s="429"/>
      <c r="P40" s="430"/>
      <c r="Q40" s="430"/>
      <c r="R40" s="431"/>
      <c r="S40" s="429"/>
      <c r="T40" s="430"/>
      <c r="U40" s="430"/>
      <c r="V40" s="431"/>
      <c r="W40" s="429"/>
      <c r="X40" s="430"/>
      <c r="Y40" s="430"/>
      <c r="Z40" s="431"/>
      <c r="AA40" s="429"/>
      <c r="AB40" s="430"/>
      <c r="AC40" s="430"/>
      <c r="AD40" s="431"/>
      <c r="AE40" s="429"/>
      <c r="AF40" s="430"/>
      <c r="AG40" s="430"/>
      <c r="AH40" s="431"/>
    </row>
    <row r="41" spans="1:34" ht="15" customHeight="1" x14ac:dyDescent="0.15">
      <c r="A41" s="438"/>
      <c r="B41" s="439"/>
      <c r="C41" s="439"/>
      <c r="D41" s="439"/>
      <c r="E41" s="439"/>
      <c r="F41" s="439"/>
      <c r="G41" s="439"/>
      <c r="H41" s="439"/>
      <c r="I41" s="439"/>
      <c r="J41" s="440"/>
      <c r="K41" s="441" t="s">
        <v>211</v>
      </c>
      <c r="L41" s="439"/>
      <c r="M41" s="439"/>
      <c r="N41" s="440"/>
      <c r="O41" s="441"/>
      <c r="P41" s="439"/>
      <c r="Q41" s="439"/>
      <c r="R41" s="440"/>
      <c r="S41" s="441" t="s">
        <v>211</v>
      </c>
      <c r="T41" s="439"/>
      <c r="U41" s="439"/>
      <c r="V41" s="440"/>
      <c r="W41" s="438"/>
      <c r="X41" s="439"/>
      <c r="Y41" s="439"/>
      <c r="Z41" s="440"/>
      <c r="AA41" s="438"/>
      <c r="AB41" s="439"/>
      <c r="AC41" s="439"/>
      <c r="AD41" s="440"/>
      <c r="AE41" s="438"/>
      <c r="AF41" s="439"/>
      <c r="AG41" s="439"/>
      <c r="AH41" s="440"/>
    </row>
    <row r="42" spans="1:34" ht="15" customHeight="1" x14ac:dyDescent="0.15">
      <c r="A42" s="414" t="s">
        <v>212</v>
      </c>
      <c r="B42" s="415"/>
      <c r="C42" s="415"/>
      <c r="D42" s="415"/>
      <c r="E42" s="415"/>
      <c r="F42" s="415"/>
      <c r="G42" s="415"/>
      <c r="H42" s="415"/>
      <c r="I42" s="415"/>
      <c r="J42" s="416"/>
      <c r="K42" s="417" t="s">
        <v>213</v>
      </c>
      <c r="L42" s="418"/>
      <c r="M42" s="418"/>
      <c r="N42" s="419"/>
      <c r="O42" s="414"/>
      <c r="P42" s="415"/>
      <c r="Q42" s="415"/>
      <c r="R42" s="416"/>
      <c r="S42" s="417" t="s">
        <v>213</v>
      </c>
      <c r="T42" s="418"/>
      <c r="U42" s="418"/>
      <c r="V42" s="419"/>
      <c r="W42" s="414"/>
      <c r="X42" s="415"/>
      <c r="Y42" s="415"/>
      <c r="Z42" s="416"/>
      <c r="AA42" s="414"/>
      <c r="AB42" s="415"/>
      <c r="AC42" s="415"/>
      <c r="AD42" s="416"/>
      <c r="AE42" s="414"/>
      <c r="AF42" s="415"/>
      <c r="AG42" s="415"/>
      <c r="AH42" s="416"/>
    </row>
    <row r="43" spans="1:34" ht="15" customHeight="1" x14ac:dyDescent="0.15">
      <c r="A43" s="421" t="s">
        <v>214</v>
      </c>
      <c r="B43" s="422"/>
      <c r="C43" s="422"/>
      <c r="D43" s="422"/>
      <c r="E43" s="422"/>
      <c r="F43" s="422"/>
      <c r="G43" s="422"/>
      <c r="H43" s="422"/>
      <c r="I43" s="422"/>
      <c r="J43" s="317"/>
      <c r="K43" s="423" t="s">
        <v>215</v>
      </c>
      <c r="L43" s="424"/>
      <c r="M43" s="424"/>
      <c r="N43" s="425"/>
      <c r="O43" s="421"/>
      <c r="P43" s="422"/>
      <c r="Q43" s="422"/>
      <c r="R43" s="317"/>
      <c r="S43" s="423" t="s">
        <v>215</v>
      </c>
      <c r="T43" s="424"/>
      <c r="U43" s="424"/>
      <c r="V43" s="425"/>
      <c r="W43" s="421"/>
      <c r="X43" s="422"/>
      <c r="Y43" s="422"/>
      <c r="Z43" s="317"/>
      <c r="AA43" s="421"/>
      <c r="AB43" s="422"/>
      <c r="AC43" s="422"/>
      <c r="AD43" s="317"/>
      <c r="AE43" s="421"/>
      <c r="AF43" s="422"/>
      <c r="AG43" s="422"/>
      <c r="AH43" s="317"/>
    </row>
    <row r="44" spans="1:34" ht="15" customHeight="1" x14ac:dyDescent="0.15">
      <c r="A44" s="359"/>
      <c r="B44" s="360"/>
      <c r="C44" s="360"/>
      <c r="D44" s="360"/>
      <c r="E44" s="360"/>
      <c r="F44" s="360"/>
      <c r="G44" s="360"/>
      <c r="H44" s="360"/>
      <c r="I44" s="360"/>
      <c r="J44" s="321"/>
      <c r="K44" s="426"/>
      <c r="L44" s="427"/>
      <c r="M44" s="427"/>
      <c r="N44" s="428"/>
      <c r="O44" s="359"/>
      <c r="P44" s="360"/>
      <c r="Q44" s="360"/>
      <c r="R44" s="321"/>
      <c r="S44" s="426"/>
      <c r="T44" s="427"/>
      <c r="U44" s="427"/>
      <c r="V44" s="428"/>
      <c r="W44" s="359"/>
      <c r="X44" s="360"/>
      <c r="Y44" s="360"/>
      <c r="Z44" s="321"/>
      <c r="AA44" s="359"/>
      <c r="AB44" s="360"/>
      <c r="AC44" s="360"/>
      <c r="AD44" s="321"/>
      <c r="AE44" s="359"/>
      <c r="AF44" s="360"/>
      <c r="AG44" s="360"/>
      <c r="AH44" s="321"/>
    </row>
    <row r="45" spans="1:34" ht="15" customHeight="1" x14ac:dyDescent="0.15">
      <c r="A45" s="75"/>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row>
    <row r="46" spans="1:34" ht="15" customHeight="1" x14ac:dyDescent="0.15">
      <c r="A46" s="128" t="s">
        <v>216</v>
      </c>
      <c r="B46" s="129"/>
      <c r="C46" s="129"/>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c r="AH46" s="130"/>
    </row>
    <row r="47" spans="1:34" ht="15" customHeight="1" x14ac:dyDescent="0.15">
      <c r="A47" s="131"/>
      <c r="B47" s="75" t="s">
        <v>217</v>
      </c>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132"/>
    </row>
    <row r="48" spans="1:34" ht="15" customHeight="1" x14ac:dyDescent="0.15">
      <c r="A48" s="131"/>
      <c r="B48" s="75" t="s">
        <v>218</v>
      </c>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132"/>
    </row>
    <row r="49" spans="1:34" ht="15" customHeight="1" x14ac:dyDescent="0.15">
      <c r="A49" s="131"/>
      <c r="B49" s="133" t="s">
        <v>219</v>
      </c>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132"/>
    </row>
    <row r="50" spans="1:34" ht="15" customHeight="1" x14ac:dyDescent="0.15">
      <c r="A50" s="131"/>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132"/>
    </row>
    <row r="51" spans="1:34" ht="15" customHeight="1" x14ac:dyDescent="0.15">
      <c r="A51" s="131"/>
      <c r="B51" s="75"/>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132"/>
    </row>
    <row r="52" spans="1:34" ht="15" customHeight="1" x14ac:dyDescent="0.15">
      <c r="A52" s="420"/>
      <c r="B52" s="420"/>
      <c r="C52" s="420"/>
      <c r="D52" s="420"/>
      <c r="E52" s="420"/>
      <c r="F52" s="420"/>
      <c r="G52" s="420"/>
      <c r="H52" s="420"/>
      <c r="I52" s="420"/>
      <c r="J52" s="420"/>
      <c r="K52" s="420"/>
      <c r="L52" s="420"/>
      <c r="M52" s="420"/>
      <c r="N52" s="420"/>
      <c r="O52" s="420"/>
      <c r="P52" s="420"/>
      <c r="Q52" s="420"/>
      <c r="R52" s="420"/>
      <c r="S52" s="420"/>
      <c r="T52" s="420"/>
      <c r="U52" s="420"/>
      <c r="V52" s="420"/>
      <c r="W52" s="420"/>
      <c r="X52" s="420"/>
      <c r="Y52" s="420"/>
      <c r="Z52" s="420"/>
      <c r="AA52" s="420"/>
      <c r="AB52" s="420"/>
      <c r="AC52" s="420"/>
      <c r="AD52" s="420"/>
      <c r="AE52" s="420"/>
      <c r="AF52" s="420"/>
      <c r="AG52" s="420"/>
      <c r="AH52" s="420"/>
    </row>
  </sheetData>
  <mergeCells count="182">
    <mergeCell ref="A11:J11"/>
    <mergeCell ref="K11:V11"/>
    <mergeCell ref="W11:AH11"/>
    <mergeCell ref="A12:J12"/>
    <mergeCell ref="K12:V12"/>
    <mergeCell ref="W12:AH12"/>
    <mergeCell ref="A4:AH4"/>
    <mergeCell ref="W6:AH6"/>
    <mergeCell ref="AD7:AH7"/>
    <mergeCell ref="A8:J10"/>
    <mergeCell ref="K8:V10"/>
    <mergeCell ref="W8:AH10"/>
    <mergeCell ref="A15:J15"/>
    <mergeCell ref="K15:V15"/>
    <mergeCell ref="W15:AH15"/>
    <mergeCell ref="A16:J16"/>
    <mergeCell ref="K16:V16"/>
    <mergeCell ref="W16:AH16"/>
    <mergeCell ref="A13:J13"/>
    <mergeCell ref="K13:V13"/>
    <mergeCell ref="W13:AH13"/>
    <mergeCell ref="A14:J14"/>
    <mergeCell ref="K14:V14"/>
    <mergeCell ref="W14:AH14"/>
    <mergeCell ref="AE17:AH18"/>
    <mergeCell ref="A19:C22"/>
    <mergeCell ref="D19:H19"/>
    <mergeCell ref="I19:J19"/>
    <mergeCell ref="K19:N19"/>
    <mergeCell ref="O19:R19"/>
    <mergeCell ref="S19:V19"/>
    <mergeCell ref="W19:Z19"/>
    <mergeCell ref="AA19:AD19"/>
    <mergeCell ref="AE19:AH19"/>
    <mergeCell ref="A17:J18"/>
    <mergeCell ref="K17:N18"/>
    <mergeCell ref="O17:R18"/>
    <mergeCell ref="S17:V18"/>
    <mergeCell ref="W17:Z18"/>
    <mergeCell ref="AA17:AD18"/>
    <mergeCell ref="AA20:AD20"/>
    <mergeCell ref="AE20:AH20"/>
    <mergeCell ref="D21:H21"/>
    <mergeCell ref="I21:J21"/>
    <mergeCell ref="K21:N21"/>
    <mergeCell ref="O21:R21"/>
    <mergeCell ref="S21:V21"/>
    <mergeCell ref="W21:Z21"/>
    <mergeCell ref="AA21:AD21"/>
    <mergeCell ref="AE21:AH21"/>
    <mergeCell ref="D20:H20"/>
    <mergeCell ref="I20:J20"/>
    <mergeCell ref="K20:N20"/>
    <mergeCell ref="O20:R20"/>
    <mergeCell ref="S20:V20"/>
    <mergeCell ref="W20:Z20"/>
    <mergeCell ref="AA22:AD22"/>
    <mergeCell ref="AE22:AH22"/>
    <mergeCell ref="A23:J24"/>
    <mergeCell ref="K23:N24"/>
    <mergeCell ref="O23:R24"/>
    <mergeCell ref="S23:V24"/>
    <mergeCell ref="W23:Z24"/>
    <mergeCell ref="AA23:AD24"/>
    <mergeCell ref="AE23:AH24"/>
    <mergeCell ref="D22:H22"/>
    <mergeCell ref="I22:J22"/>
    <mergeCell ref="K22:N22"/>
    <mergeCell ref="O22:R22"/>
    <mergeCell ref="S22:V22"/>
    <mergeCell ref="W22:Z22"/>
    <mergeCell ref="AA25:AD26"/>
    <mergeCell ref="AE25:AH26"/>
    <mergeCell ref="A27:H28"/>
    <mergeCell ref="I27:J28"/>
    <mergeCell ref="K27:N28"/>
    <mergeCell ref="O27:R28"/>
    <mergeCell ref="S27:V28"/>
    <mergeCell ref="W27:Z28"/>
    <mergeCell ref="AA27:AD28"/>
    <mergeCell ref="AE27:AH28"/>
    <mergeCell ref="A25:H26"/>
    <mergeCell ref="I25:J26"/>
    <mergeCell ref="K25:N26"/>
    <mergeCell ref="O25:R26"/>
    <mergeCell ref="S25:V26"/>
    <mergeCell ref="W25:Z26"/>
    <mergeCell ref="D32:J33"/>
    <mergeCell ref="K32:N32"/>
    <mergeCell ref="O32:R32"/>
    <mergeCell ref="S32:V32"/>
    <mergeCell ref="W32:Z32"/>
    <mergeCell ref="AE29:AH29"/>
    <mergeCell ref="A30:C35"/>
    <mergeCell ref="D30:J30"/>
    <mergeCell ref="K30:N31"/>
    <mergeCell ref="O30:R30"/>
    <mergeCell ref="S30:V30"/>
    <mergeCell ref="AA30:AD30"/>
    <mergeCell ref="AE30:AH30"/>
    <mergeCell ref="D31:J31"/>
    <mergeCell ref="A29:J29"/>
    <mergeCell ref="K29:N29"/>
    <mergeCell ref="O29:R29"/>
    <mergeCell ref="S29:V29"/>
    <mergeCell ref="W29:Z29"/>
    <mergeCell ref="AA29:AD29"/>
    <mergeCell ref="W30:Z31"/>
    <mergeCell ref="AA32:AD32"/>
    <mergeCell ref="AE32:AH32"/>
    <mergeCell ref="K33:N33"/>
    <mergeCell ref="O33:R33"/>
    <mergeCell ref="S33:V33"/>
    <mergeCell ref="W33:Z33"/>
    <mergeCell ref="AA33:AD33"/>
    <mergeCell ref="AE33:AH33"/>
    <mergeCell ref="O31:R31"/>
    <mergeCell ref="S31:V31"/>
    <mergeCell ref="AA31:AD31"/>
    <mergeCell ref="AE31:AH31"/>
    <mergeCell ref="AE34:AH34"/>
    <mergeCell ref="K35:N35"/>
    <mergeCell ref="O35:R35"/>
    <mergeCell ref="S35:V35"/>
    <mergeCell ref="W35:Z35"/>
    <mergeCell ref="AA35:AD35"/>
    <mergeCell ref="AE35:AH35"/>
    <mergeCell ref="D34:J35"/>
    <mergeCell ref="K34:N34"/>
    <mergeCell ref="O34:R34"/>
    <mergeCell ref="S34:V34"/>
    <mergeCell ref="W34:Z34"/>
    <mergeCell ref="AA34:AD34"/>
    <mergeCell ref="AA36:AD36"/>
    <mergeCell ref="AE36:AH36"/>
    <mergeCell ref="K37:N37"/>
    <mergeCell ref="O37:R37"/>
    <mergeCell ref="S37:V37"/>
    <mergeCell ref="W37:Z37"/>
    <mergeCell ref="AA37:AD37"/>
    <mergeCell ref="AE37:AH37"/>
    <mergeCell ref="A36:C37"/>
    <mergeCell ref="D36:J37"/>
    <mergeCell ref="K36:N36"/>
    <mergeCell ref="O36:R36"/>
    <mergeCell ref="S36:V36"/>
    <mergeCell ref="W36:Z36"/>
    <mergeCell ref="AE38:AH39"/>
    <mergeCell ref="A40:J41"/>
    <mergeCell ref="K40:N40"/>
    <mergeCell ref="O40:R40"/>
    <mergeCell ref="S40:V40"/>
    <mergeCell ref="W40:Z40"/>
    <mergeCell ref="AA40:AD40"/>
    <mergeCell ref="AE40:AH40"/>
    <mergeCell ref="K41:N41"/>
    <mergeCell ref="O41:R41"/>
    <mergeCell ref="A38:J39"/>
    <mergeCell ref="K38:N39"/>
    <mergeCell ref="O38:R39"/>
    <mergeCell ref="S38:V39"/>
    <mergeCell ref="W38:Z39"/>
    <mergeCell ref="AA38:AD39"/>
    <mergeCell ref="S41:V41"/>
    <mergeCell ref="W41:Z41"/>
    <mergeCell ref="AA41:AD41"/>
    <mergeCell ref="AE41:AH41"/>
    <mergeCell ref="A42:J42"/>
    <mergeCell ref="K42:N42"/>
    <mergeCell ref="O42:R42"/>
    <mergeCell ref="S42:V42"/>
    <mergeCell ref="W42:Z42"/>
    <mergeCell ref="AA42:AD42"/>
    <mergeCell ref="A52:AH52"/>
    <mergeCell ref="AE42:AH42"/>
    <mergeCell ref="A43:J44"/>
    <mergeCell ref="K43:N44"/>
    <mergeCell ref="O43:R44"/>
    <mergeCell ref="S43:V44"/>
    <mergeCell ref="W43:Z44"/>
    <mergeCell ref="AA43:AD44"/>
    <mergeCell ref="AE43:AH44"/>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2391B-6E22-484D-A26B-6FE09D511714}">
  <dimension ref="A3:J60"/>
  <sheetViews>
    <sheetView tabSelected="1" view="pageBreakPreview" topLeftCell="A20" zoomScale="145" zoomScaleNormal="100" zoomScaleSheetLayoutView="145"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368</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0.73</v>
      </c>
      <c r="D9" s="745" t="s">
        <v>1</v>
      </c>
      <c r="E9" s="746"/>
      <c r="F9" s="744">
        <v>2</v>
      </c>
      <c r="G9" s="190" t="s">
        <v>312</v>
      </c>
      <c r="H9" s="191">
        <v>0.67</v>
      </c>
      <c r="I9" s="745" t="s">
        <v>339</v>
      </c>
      <c r="J9" s="746"/>
    </row>
    <row r="10" spans="1:10" ht="14.25" thickBot="1" x14ac:dyDescent="0.2">
      <c r="A10" s="744"/>
      <c r="B10" s="190" t="s">
        <v>313</v>
      </c>
      <c r="C10" s="191">
        <v>0.56000000000000005</v>
      </c>
      <c r="D10" s="745"/>
      <c r="E10" s="746"/>
      <c r="F10" s="744"/>
      <c r="G10" s="190" t="s">
        <v>313</v>
      </c>
      <c r="H10" s="191">
        <v>0.67</v>
      </c>
      <c r="I10" s="745"/>
      <c r="J10" s="746"/>
    </row>
    <row r="11" spans="1:10" ht="14.25" thickBot="1" x14ac:dyDescent="0.2">
      <c r="A11" s="744">
        <v>3</v>
      </c>
      <c r="B11" s="190" t="s">
        <v>312</v>
      </c>
      <c r="C11" s="191">
        <v>0.32</v>
      </c>
      <c r="D11" s="747" t="s">
        <v>358</v>
      </c>
      <c r="E11" s="746"/>
      <c r="F11" s="744">
        <v>4</v>
      </c>
      <c r="G11" s="190" t="s">
        <v>312</v>
      </c>
      <c r="H11" s="191">
        <v>0.59</v>
      </c>
      <c r="I11" s="745" t="s">
        <v>1</v>
      </c>
      <c r="J11" s="746"/>
    </row>
    <row r="12" spans="1:10" ht="14.25" thickBot="1" x14ac:dyDescent="0.2">
      <c r="A12" s="744"/>
      <c r="B12" s="190" t="s">
        <v>313</v>
      </c>
      <c r="C12" s="191">
        <v>0.43</v>
      </c>
      <c r="D12" s="748"/>
      <c r="E12" s="746"/>
      <c r="F12" s="744"/>
      <c r="G12" s="190" t="s">
        <v>313</v>
      </c>
      <c r="H12" s="191">
        <v>0.45</v>
      </c>
      <c r="I12" s="745"/>
      <c r="J12" s="746"/>
    </row>
    <row r="13" spans="1:10" ht="14.25" thickBot="1" x14ac:dyDescent="0.2">
      <c r="A13" s="744">
        <v>5</v>
      </c>
      <c r="B13" s="190" t="s">
        <v>312</v>
      </c>
      <c r="C13" s="191">
        <v>0.61</v>
      </c>
      <c r="D13" s="745" t="s">
        <v>1</v>
      </c>
      <c r="E13" s="746"/>
      <c r="F13" s="744">
        <v>6</v>
      </c>
      <c r="G13" s="190" t="s">
        <v>312</v>
      </c>
      <c r="H13" s="191">
        <v>0.55000000000000004</v>
      </c>
      <c r="I13" s="745" t="s">
        <v>1</v>
      </c>
      <c r="J13" s="746"/>
    </row>
    <row r="14" spans="1:10" ht="14.25" thickBot="1" x14ac:dyDescent="0.2">
      <c r="A14" s="744"/>
      <c r="B14" s="190" t="s">
        <v>313</v>
      </c>
      <c r="C14" s="191">
        <v>0.79</v>
      </c>
      <c r="D14" s="745"/>
      <c r="E14" s="746"/>
      <c r="F14" s="744"/>
      <c r="G14" s="190" t="s">
        <v>313</v>
      </c>
      <c r="H14" s="191">
        <v>0.61</v>
      </c>
      <c r="I14" s="745"/>
      <c r="J14" s="746"/>
    </row>
    <row r="15" spans="1:10" ht="14.25" thickBot="1" x14ac:dyDescent="0.2">
      <c r="A15" s="744">
        <v>7</v>
      </c>
      <c r="B15" s="190" t="s">
        <v>312</v>
      </c>
      <c r="C15" s="191">
        <v>0.55000000000000004</v>
      </c>
      <c r="D15" s="745" t="s">
        <v>1</v>
      </c>
      <c r="E15" s="746"/>
      <c r="F15" s="744">
        <v>8</v>
      </c>
      <c r="G15" s="190" t="s">
        <v>312</v>
      </c>
      <c r="H15" s="191">
        <v>0.86</v>
      </c>
      <c r="I15" s="745" t="s">
        <v>1</v>
      </c>
      <c r="J15" s="751"/>
    </row>
    <row r="16" spans="1:10" ht="14.25" thickBot="1" x14ac:dyDescent="0.2">
      <c r="A16" s="744"/>
      <c r="B16" s="190" t="s">
        <v>313</v>
      </c>
      <c r="C16" s="191">
        <v>0.61</v>
      </c>
      <c r="D16" s="745"/>
      <c r="E16" s="746"/>
      <c r="F16" s="744"/>
      <c r="G16" s="190" t="s">
        <v>313</v>
      </c>
      <c r="H16" s="191">
        <v>0.99</v>
      </c>
      <c r="I16" s="745"/>
      <c r="J16" s="752"/>
    </row>
    <row r="17" spans="1:10" ht="14.25" thickBot="1" x14ac:dyDescent="0.2">
      <c r="A17" s="744">
        <v>9</v>
      </c>
      <c r="B17" s="190" t="s">
        <v>312</v>
      </c>
      <c r="C17" s="191">
        <v>0.78</v>
      </c>
      <c r="D17" s="745" t="s">
        <v>1</v>
      </c>
      <c r="E17" s="751"/>
      <c r="F17" s="744">
        <v>10</v>
      </c>
      <c r="G17" s="190" t="s">
        <v>312</v>
      </c>
      <c r="H17" s="191">
        <v>0.45</v>
      </c>
      <c r="I17" s="745" t="s">
        <v>1</v>
      </c>
      <c r="J17" s="751"/>
    </row>
    <row r="18" spans="1:10" ht="14.25" thickBot="1" x14ac:dyDescent="0.2">
      <c r="A18" s="744"/>
      <c r="B18" s="190" t="s">
        <v>313</v>
      </c>
      <c r="C18" s="191">
        <v>0.92</v>
      </c>
      <c r="D18" s="745"/>
      <c r="E18" s="752"/>
      <c r="F18" s="744"/>
      <c r="G18" s="190" t="s">
        <v>313</v>
      </c>
      <c r="H18" s="191">
        <v>0.54</v>
      </c>
      <c r="I18" s="745"/>
      <c r="J18" s="752"/>
    </row>
    <row r="19" spans="1:10" ht="14.25" thickBot="1" x14ac:dyDescent="0.2">
      <c r="A19" s="744">
        <v>11</v>
      </c>
      <c r="B19" s="190" t="s">
        <v>312</v>
      </c>
      <c r="C19" s="191">
        <v>1.0900000000000001</v>
      </c>
      <c r="D19" s="745" t="s">
        <v>1</v>
      </c>
      <c r="E19" s="746"/>
      <c r="F19" s="744">
        <v>12</v>
      </c>
      <c r="G19" s="190" t="s">
        <v>312</v>
      </c>
      <c r="H19" s="191">
        <v>0.84</v>
      </c>
      <c r="I19" s="750"/>
      <c r="J19" s="746"/>
    </row>
    <row r="20" spans="1:10" ht="14.25" thickBot="1" x14ac:dyDescent="0.2">
      <c r="A20" s="744"/>
      <c r="B20" s="190" t="s">
        <v>313</v>
      </c>
      <c r="C20" s="191">
        <v>0.94</v>
      </c>
      <c r="D20" s="745"/>
      <c r="E20" s="746"/>
      <c r="F20" s="744"/>
      <c r="G20" s="190" t="s">
        <v>313</v>
      </c>
      <c r="H20" s="191">
        <v>0.77</v>
      </c>
      <c r="I20" s="750"/>
      <c r="J20" s="746"/>
    </row>
    <row r="21" spans="1:10" ht="13.5" customHeight="1" thickBot="1" x14ac:dyDescent="0.2">
      <c r="A21" s="749" t="s">
        <v>369</v>
      </c>
      <c r="B21" s="749"/>
      <c r="C21" s="229"/>
      <c r="D21" s="229"/>
      <c r="E21" s="229"/>
      <c r="F21" s="229"/>
      <c r="G21" s="229"/>
      <c r="H21" s="229"/>
      <c r="I21" s="229"/>
      <c r="J21" s="230"/>
    </row>
    <row r="22" spans="1:10" ht="14.25" thickBot="1" x14ac:dyDescent="0.2">
      <c r="A22" s="744">
        <v>1</v>
      </c>
      <c r="B22" s="190" t="s">
        <v>312</v>
      </c>
      <c r="C22" s="191">
        <v>0.54</v>
      </c>
      <c r="D22" s="745" t="s">
        <v>1</v>
      </c>
      <c r="E22" s="746"/>
      <c r="F22" s="744">
        <v>2</v>
      </c>
      <c r="G22" s="223" t="s">
        <v>312</v>
      </c>
      <c r="H22" s="191">
        <v>0.41</v>
      </c>
      <c r="I22" s="745" t="s">
        <v>1</v>
      </c>
      <c r="J22" s="746"/>
    </row>
    <row r="23" spans="1:10" ht="14.25" thickBot="1" x14ac:dyDescent="0.2">
      <c r="A23" s="744"/>
      <c r="B23" s="190" t="s">
        <v>313</v>
      </c>
      <c r="C23" s="191">
        <v>0.62</v>
      </c>
      <c r="D23" s="745"/>
      <c r="E23" s="746"/>
      <c r="F23" s="744"/>
      <c r="G23" s="223" t="s">
        <v>313</v>
      </c>
      <c r="H23" s="191">
        <v>0.44</v>
      </c>
      <c r="I23" s="745"/>
      <c r="J23" s="746"/>
    </row>
    <row r="24" spans="1:10" ht="12.95" customHeight="1" thickBot="1" x14ac:dyDescent="0.2">
      <c r="A24" s="744">
        <v>3</v>
      </c>
      <c r="B24" s="190" t="s">
        <v>312</v>
      </c>
      <c r="C24" s="191">
        <v>0.54</v>
      </c>
      <c r="D24" s="745" t="s">
        <v>1</v>
      </c>
      <c r="E24" s="746"/>
      <c r="F24" s="744">
        <v>4</v>
      </c>
      <c r="G24" s="223" t="s">
        <v>312</v>
      </c>
      <c r="H24" s="191">
        <v>0.65</v>
      </c>
      <c r="I24" s="745" t="s">
        <v>1</v>
      </c>
      <c r="J24" s="746"/>
    </row>
    <row r="25" spans="1:10" ht="14.25" thickBot="1" x14ac:dyDescent="0.2">
      <c r="A25" s="744"/>
      <c r="B25" s="190" t="s">
        <v>313</v>
      </c>
      <c r="C25" s="191">
        <v>0.53</v>
      </c>
      <c r="D25" s="745"/>
      <c r="E25" s="746"/>
      <c r="F25" s="744"/>
      <c r="G25" s="223" t="s">
        <v>313</v>
      </c>
      <c r="H25" s="191">
        <v>0.54</v>
      </c>
      <c r="I25" s="745"/>
      <c r="J25" s="746"/>
    </row>
    <row r="26" spans="1:10" ht="14.25" thickBot="1" x14ac:dyDescent="0.2">
      <c r="A26" s="744">
        <v>5</v>
      </c>
      <c r="B26" s="190" t="s">
        <v>312</v>
      </c>
      <c r="C26" s="191">
        <v>0.71</v>
      </c>
      <c r="D26" s="745" t="s">
        <v>1</v>
      </c>
      <c r="E26" s="746"/>
      <c r="F26" s="744">
        <v>6</v>
      </c>
      <c r="G26" s="223" t="s">
        <v>312</v>
      </c>
      <c r="H26" s="191">
        <v>0.61</v>
      </c>
      <c r="I26" s="745" t="s">
        <v>1</v>
      </c>
      <c r="J26" s="746"/>
    </row>
    <row r="27" spans="1:10" ht="14.25" thickBot="1" x14ac:dyDescent="0.2">
      <c r="A27" s="744"/>
      <c r="B27" s="190" t="s">
        <v>313</v>
      </c>
      <c r="C27" s="191">
        <v>0.77</v>
      </c>
      <c r="D27" s="745"/>
      <c r="E27" s="746"/>
      <c r="F27" s="744"/>
      <c r="G27" s="223" t="s">
        <v>313</v>
      </c>
      <c r="H27" s="191">
        <v>0.79</v>
      </c>
      <c r="I27" s="745"/>
      <c r="J27" s="746"/>
    </row>
    <row r="28" spans="1:10" ht="14.25" thickBot="1" x14ac:dyDescent="0.2">
      <c r="A28" s="744">
        <v>7</v>
      </c>
      <c r="B28" s="190" t="s">
        <v>312</v>
      </c>
      <c r="C28" s="191">
        <v>0.48</v>
      </c>
      <c r="D28" s="745" t="s">
        <v>1</v>
      </c>
      <c r="E28" s="746"/>
      <c r="F28" s="744">
        <v>8</v>
      </c>
      <c r="G28" s="223" t="s">
        <v>312</v>
      </c>
      <c r="H28" s="191">
        <v>0.45</v>
      </c>
      <c r="I28" s="745" t="s">
        <v>1</v>
      </c>
      <c r="J28" s="746"/>
    </row>
    <row r="29" spans="1:10" ht="14.25" thickBot="1" x14ac:dyDescent="0.2">
      <c r="A29" s="744"/>
      <c r="B29" s="190" t="s">
        <v>313</v>
      </c>
      <c r="C29" s="191">
        <v>0.5</v>
      </c>
      <c r="D29" s="745"/>
      <c r="E29" s="746"/>
      <c r="F29" s="744"/>
      <c r="G29" s="223" t="s">
        <v>313</v>
      </c>
      <c r="H29" s="191">
        <v>0.56000000000000005</v>
      </c>
      <c r="I29" s="745"/>
      <c r="J29" s="746"/>
    </row>
    <row r="30" spans="1:10" ht="14.25" thickBot="1" x14ac:dyDescent="0.2">
      <c r="A30" s="744">
        <v>9</v>
      </c>
      <c r="B30" s="190" t="s">
        <v>312</v>
      </c>
      <c r="C30" s="191">
        <v>0.51</v>
      </c>
      <c r="D30" s="745" t="s">
        <v>1</v>
      </c>
      <c r="E30" s="746"/>
      <c r="F30" s="744">
        <v>10</v>
      </c>
      <c r="G30" s="223" t="s">
        <v>312</v>
      </c>
      <c r="H30" s="191">
        <v>0.51</v>
      </c>
      <c r="I30" s="745" t="s">
        <v>1</v>
      </c>
      <c r="J30" s="746"/>
    </row>
    <row r="31" spans="1:10" ht="14.25" thickBot="1" x14ac:dyDescent="0.2">
      <c r="A31" s="744"/>
      <c r="B31" s="190" t="s">
        <v>313</v>
      </c>
      <c r="C31" s="191">
        <v>0.57999999999999996</v>
      </c>
      <c r="D31" s="745"/>
      <c r="E31" s="746"/>
      <c r="F31" s="744"/>
      <c r="G31" s="223" t="s">
        <v>313</v>
      </c>
      <c r="H31" s="191">
        <v>0.67</v>
      </c>
      <c r="I31" s="745"/>
      <c r="J31" s="746"/>
    </row>
    <row r="32" spans="1:10" ht="14.25" thickBot="1" x14ac:dyDescent="0.2">
      <c r="A32" s="744">
        <v>11</v>
      </c>
      <c r="B32" s="190" t="s">
        <v>312</v>
      </c>
      <c r="C32" s="191">
        <v>0.67</v>
      </c>
      <c r="D32" s="745" t="s">
        <v>1</v>
      </c>
      <c r="E32" s="746"/>
      <c r="F32" s="744">
        <v>12</v>
      </c>
      <c r="G32" s="192"/>
      <c r="H32" s="193"/>
      <c r="I32" s="750"/>
      <c r="J32" s="746"/>
    </row>
    <row r="33" spans="1:10" ht="14.25" thickBot="1" x14ac:dyDescent="0.2">
      <c r="A33" s="744"/>
      <c r="B33" s="190" t="s">
        <v>313</v>
      </c>
      <c r="C33" s="191">
        <v>0.84</v>
      </c>
      <c r="D33" s="745"/>
      <c r="E33" s="746"/>
      <c r="F33" s="744"/>
      <c r="G33" s="194"/>
      <c r="H33" s="195"/>
      <c r="I33" s="750"/>
      <c r="J33" s="746"/>
    </row>
    <row r="34" spans="1:10" ht="14.25" thickBot="1" x14ac:dyDescent="0.2">
      <c r="A34" s="749" t="s">
        <v>370</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1.23</v>
      </c>
      <c r="D36" s="753" t="s">
        <v>358</v>
      </c>
      <c r="E36" s="746"/>
      <c r="F36" s="744">
        <v>2</v>
      </c>
      <c r="G36" s="190" t="s">
        <v>312</v>
      </c>
      <c r="H36" s="191">
        <v>0.53</v>
      </c>
      <c r="I36" s="745" t="s">
        <v>339</v>
      </c>
      <c r="J36" s="746"/>
    </row>
    <row r="37" spans="1:10" ht="14.25" thickBot="1" x14ac:dyDescent="0.2">
      <c r="A37" s="744"/>
      <c r="B37" s="190" t="s">
        <v>313</v>
      </c>
      <c r="C37" s="191">
        <v>1.55</v>
      </c>
      <c r="D37" s="753"/>
      <c r="E37" s="746"/>
      <c r="F37" s="744"/>
      <c r="G37" s="190" t="s">
        <v>313</v>
      </c>
      <c r="H37" s="191">
        <v>0.71</v>
      </c>
      <c r="I37" s="745"/>
      <c r="J37" s="746"/>
    </row>
    <row r="38" spans="1:10" ht="13.5" customHeight="1" thickBot="1" x14ac:dyDescent="0.2">
      <c r="A38" s="744">
        <v>3</v>
      </c>
      <c r="B38" s="190" t="s">
        <v>312</v>
      </c>
      <c r="C38" s="191">
        <v>1.67</v>
      </c>
      <c r="D38" s="745" t="s">
        <v>1</v>
      </c>
      <c r="E38" s="746"/>
      <c r="F38" s="744">
        <v>4</v>
      </c>
      <c r="G38" s="190" t="s">
        <v>312</v>
      </c>
      <c r="H38" s="191">
        <v>0.77</v>
      </c>
      <c r="I38" s="745" t="s">
        <v>1</v>
      </c>
      <c r="J38" s="746"/>
    </row>
    <row r="39" spans="1:10" ht="13.5" customHeight="1" thickBot="1" x14ac:dyDescent="0.2">
      <c r="A39" s="744"/>
      <c r="B39" s="190" t="s">
        <v>313</v>
      </c>
      <c r="C39" s="191">
        <v>1.27</v>
      </c>
      <c r="D39" s="745"/>
      <c r="E39" s="746"/>
      <c r="F39" s="744"/>
      <c r="G39" s="190" t="s">
        <v>313</v>
      </c>
      <c r="H39" s="191">
        <v>0.48</v>
      </c>
      <c r="I39" s="745"/>
      <c r="J39" s="746"/>
    </row>
    <row r="40" spans="1:10" ht="14.25" thickBot="1" x14ac:dyDescent="0.2">
      <c r="A40" s="744">
        <v>5</v>
      </c>
      <c r="B40" s="190" t="s">
        <v>312</v>
      </c>
      <c r="C40" s="191">
        <v>0.67</v>
      </c>
      <c r="D40" s="745" t="s">
        <v>1</v>
      </c>
      <c r="E40" s="746"/>
      <c r="F40" s="744">
        <v>6</v>
      </c>
      <c r="G40" s="190" t="s">
        <v>312</v>
      </c>
      <c r="H40" s="191">
        <v>0.78</v>
      </c>
      <c r="I40" s="745" t="s">
        <v>1</v>
      </c>
      <c r="J40" s="746"/>
    </row>
    <row r="41" spans="1:10" ht="14.25" thickBot="1" x14ac:dyDescent="0.2">
      <c r="A41" s="744"/>
      <c r="B41" s="190" t="s">
        <v>313</v>
      </c>
      <c r="C41" s="191">
        <v>0.67</v>
      </c>
      <c r="D41" s="745"/>
      <c r="E41" s="746"/>
      <c r="F41" s="744"/>
      <c r="G41" s="190" t="s">
        <v>313</v>
      </c>
      <c r="H41" s="191">
        <v>0.98</v>
      </c>
      <c r="I41" s="745"/>
      <c r="J41" s="746"/>
    </row>
    <row r="42" spans="1:10" ht="14.25" thickBot="1" x14ac:dyDescent="0.2">
      <c r="A42" s="744">
        <v>7</v>
      </c>
      <c r="B42" s="190" t="s">
        <v>312</v>
      </c>
      <c r="C42" s="191">
        <v>0.59</v>
      </c>
      <c r="D42" s="745" t="s">
        <v>1</v>
      </c>
      <c r="E42" s="746"/>
      <c r="F42" s="744">
        <v>8</v>
      </c>
      <c r="G42" s="190" t="s">
        <v>312</v>
      </c>
      <c r="H42" s="191">
        <v>0.56999999999999995</v>
      </c>
      <c r="I42" s="745" t="s">
        <v>1</v>
      </c>
      <c r="J42" s="751"/>
    </row>
    <row r="43" spans="1:10" ht="14.25" thickBot="1" x14ac:dyDescent="0.2">
      <c r="A43" s="744"/>
      <c r="B43" s="190" t="s">
        <v>313</v>
      </c>
      <c r="C43" s="191">
        <v>0.45</v>
      </c>
      <c r="D43" s="745"/>
      <c r="E43" s="746"/>
      <c r="F43" s="744"/>
      <c r="G43" s="190" t="s">
        <v>313</v>
      </c>
      <c r="H43" s="191">
        <v>0.85</v>
      </c>
      <c r="I43" s="745"/>
      <c r="J43" s="752"/>
    </row>
    <row r="44" spans="1:10" ht="14.25" thickBot="1" x14ac:dyDescent="0.2">
      <c r="A44" s="744">
        <v>9</v>
      </c>
      <c r="B44" s="190" t="s">
        <v>312</v>
      </c>
      <c r="C44" s="191">
        <v>1.0900000000000001</v>
      </c>
      <c r="D44" s="745" t="s">
        <v>1</v>
      </c>
      <c r="E44" s="751"/>
      <c r="F44" s="744">
        <v>10</v>
      </c>
      <c r="G44" s="190" t="s">
        <v>312</v>
      </c>
      <c r="H44" s="191">
        <v>0.46</v>
      </c>
      <c r="I44" s="745" t="s">
        <v>1</v>
      </c>
      <c r="J44" s="751"/>
    </row>
    <row r="45" spans="1:10" ht="14.25" thickBot="1" x14ac:dyDescent="0.2">
      <c r="A45" s="744"/>
      <c r="B45" s="190" t="s">
        <v>313</v>
      </c>
      <c r="C45" s="191">
        <v>0.94</v>
      </c>
      <c r="D45" s="745"/>
      <c r="E45" s="752"/>
      <c r="F45" s="744"/>
      <c r="G45" s="190" t="s">
        <v>313</v>
      </c>
      <c r="H45" s="191">
        <v>0.56999999999999995</v>
      </c>
      <c r="I45" s="745"/>
      <c r="J45" s="752"/>
    </row>
    <row r="46" spans="1:10" ht="14.25" thickBot="1" x14ac:dyDescent="0.2">
      <c r="A46" s="744">
        <v>11</v>
      </c>
      <c r="B46" s="190" t="s">
        <v>312</v>
      </c>
      <c r="C46" s="191">
        <v>0.67</v>
      </c>
      <c r="D46" s="745" t="s">
        <v>1</v>
      </c>
      <c r="E46" s="746"/>
      <c r="F46" s="744">
        <v>12</v>
      </c>
      <c r="G46" s="190" t="s">
        <v>312</v>
      </c>
      <c r="H46" s="191">
        <v>0.89</v>
      </c>
      <c r="I46" s="745" t="s">
        <v>1</v>
      </c>
      <c r="J46" s="746"/>
    </row>
    <row r="47" spans="1:10" ht="14.25" thickBot="1" x14ac:dyDescent="0.2">
      <c r="A47" s="744"/>
      <c r="B47" s="190" t="s">
        <v>313</v>
      </c>
      <c r="C47" s="191">
        <v>0.59</v>
      </c>
      <c r="D47" s="745"/>
      <c r="E47" s="746"/>
      <c r="F47" s="744"/>
      <c r="G47" s="190" t="s">
        <v>313</v>
      </c>
      <c r="H47" s="191">
        <v>0.99</v>
      </c>
      <c r="I47" s="745"/>
      <c r="J47" s="746"/>
    </row>
    <row r="48" spans="1:10" ht="14.25" thickBot="1" x14ac:dyDescent="0.2">
      <c r="A48" s="749" t="s">
        <v>371</v>
      </c>
      <c r="B48" s="749"/>
      <c r="C48" s="229"/>
      <c r="D48" s="229"/>
      <c r="E48" s="229"/>
      <c r="F48" s="229"/>
      <c r="G48" s="229"/>
      <c r="H48" s="229"/>
      <c r="I48" s="229"/>
      <c r="J48" s="230"/>
    </row>
    <row r="49" spans="1:10" ht="14.25" thickBot="1" x14ac:dyDescent="0.2">
      <c r="A49" s="744">
        <v>1</v>
      </c>
      <c r="B49" s="190" t="s">
        <v>312</v>
      </c>
      <c r="C49" s="191">
        <v>0.45</v>
      </c>
      <c r="D49" s="745" t="s">
        <v>1</v>
      </c>
      <c r="E49" s="746"/>
      <c r="F49" s="744">
        <v>2</v>
      </c>
      <c r="G49" s="223" t="s">
        <v>312</v>
      </c>
      <c r="H49" s="191">
        <v>0.45</v>
      </c>
      <c r="I49" s="745" t="s">
        <v>1</v>
      </c>
      <c r="J49" s="746"/>
    </row>
    <row r="50" spans="1:10" ht="14.25" thickBot="1" x14ac:dyDescent="0.2">
      <c r="A50" s="744"/>
      <c r="B50" s="190" t="s">
        <v>313</v>
      </c>
      <c r="C50" s="191">
        <v>0.57999999999999996</v>
      </c>
      <c r="D50" s="745"/>
      <c r="E50" s="746"/>
      <c r="F50" s="744"/>
      <c r="G50" s="223" t="s">
        <v>313</v>
      </c>
      <c r="H50" s="191">
        <v>0.56000000000000005</v>
      </c>
      <c r="I50" s="745"/>
      <c r="J50" s="746"/>
    </row>
    <row r="51" spans="1:10" ht="14.25" thickBot="1" x14ac:dyDescent="0.2">
      <c r="A51" s="744">
        <v>3</v>
      </c>
      <c r="B51" s="190" t="s">
        <v>312</v>
      </c>
      <c r="C51" s="191">
        <v>0.56999999999999995</v>
      </c>
      <c r="D51" s="745" t="s">
        <v>1</v>
      </c>
      <c r="E51" s="746"/>
      <c r="F51" s="744">
        <v>4</v>
      </c>
      <c r="G51" s="223" t="s">
        <v>312</v>
      </c>
      <c r="H51" s="191">
        <v>0.51</v>
      </c>
      <c r="I51" s="745" t="s">
        <v>1</v>
      </c>
      <c r="J51" s="746"/>
    </row>
    <row r="52" spans="1:10" ht="14.25" thickBot="1" x14ac:dyDescent="0.2">
      <c r="A52" s="744"/>
      <c r="B52" s="190" t="s">
        <v>313</v>
      </c>
      <c r="C52" s="191">
        <v>0.45</v>
      </c>
      <c r="D52" s="745"/>
      <c r="E52" s="746"/>
      <c r="F52" s="744"/>
      <c r="G52" s="223" t="s">
        <v>313</v>
      </c>
      <c r="H52" s="191">
        <v>0.67</v>
      </c>
      <c r="I52" s="745"/>
      <c r="J52" s="746"/>
    </row>
    <row r="53" spans="1:10" ht="14.25" thickBot="1" x14ac:dyDescent="0.2">
      <c r="A53" s="744">
        <v>5</v>
      </c>
      <c r="B53" s="190" t="s">
        <v>312</v>
      </c>
      <c r="C53" s="191">
        <v>0.33</v>
      </c>
      <c r="D53" s="753" t="s">
        <v>358</v>
      </c>
      <c r="E53" s="746"/>
      <c r="F53" s="744">
        <v>6</v>
      </c>
      <c r="G53" s="223" t="s">
        <v>312</v>
      </c>
      <c r="H53" s="191">
        <v>0.42</v>
      </c>
      <c r="I53" s="745" t="s">
        <v>1</v>
      </c>
      <c r="J53" s="746"/>
    </row>
    <row r="54" spans="1:10" ht="14.25" thickBot="1" x14ac:dyDescent="0.2">
      <c r="A54" s="744"/>
      <c r="B54" s="190" t="s">
        <v>313</v>
      </c>
      <c r="C54" s="191">
        <v>0.43</v>
      </c>
      <c r="D54" s="753"/>
      <c r="E54" s="746"/>
      <c r="F54" s="744"/>
      <c r="G54" s="223" t="s">
        <v>313</v>
      </c>
      <c r="H54" s="191">
        <v>0.48</v>
      </c>
      <c r="I54" s="745"/>
      <c r="J54" s="746"/>
    </row>
    <row r="55" spans="1:10" ht="14.25" thickBot="1" x14ac:dyDescent="0.2">
      <c r="A55" s="744">
        <v>7</v>
      </c>
      <c r="B55" s="190" t="s">
        <v>312</v>
      </c>
      <c r="C55" s="191">
        <v>0.59</v>
      </c>
      <c r="D55" s="745" t="s">
        <v>1</v>
      </c>
      <c r="E55" s="746"/>
      <c r="F55" s="744">
        <v>8</v>
      </c>
      <c r="G55" s="223" t="s">
        <v>312</v>
      </c>
      <c r="H55" s="191">
        <v>0.51</v>
      </c>
      <c r="I55" s="745" t="s">
        <v>1</v>
      </c>
      <c r="J55" s="746"/>
    </row>
    <row r="56" spans="1:10" ht="14.25" thickBot="1" x14ac:dyDescent="0.2">
      <c r="A56" s="744"/>
      <c r="B56" s="190" t="s">
        <v>313</v>
      </c>
      <c r="C56" s="191">
        <v>0.45</v>
      </c>
      <c r="D56" s="745"/>
      <c r="E56" s="746"/>
      <c r="F56" s="744"/>
      <c r="G56" s="223" t="s">
        <v>313</v>
      </c>
      <c r="H56" s="191">
        <v>0.41</v>
      </c>
      <c r="I56" s="745"/>
      <c r="J56" s="746"/>
    </row>
    <row r="57" spans="1:10" ht="14.25" thickBot="1" x14ac:dyDescent="0.2">
      <c r="A57" s="744">
        <v>9</v>
      </c>
      <c r="B57" s="190" t="s">
        <v>312</v>
      </c>
      <c r="C57" s="191">
        <v>0.48</v>
      </c>
      <c r="D57" s="745" t="s">
        <v>1</v>
      </c>
      <c r="E57" s="746"/>
      <c r="F57" s="744">
        <v>10</v>
      </c>
      <c r="G57" s="223" t="s">
        <v>312</v>
      </c>
      <c r="H57" s="191">
        <v>0.44</v>
      </c>
      <c r="I57" s="745" t="s">
        <v>1</v>
      </c>
      <c r="J57" s="746"/>
    </row>
    <row r="58" spans="1:10" ht="14.25" thickBot="1" x14ac:dyDescent="0.2">
      <c r="A58" s="744"/>
      <c r="B58" s="190" t="s">
        <v>313</v>
      </c>
      <c r="C58" s="191">
        <v>0.56000000000000005</v>
      </c>
      <c r="D58" s="745"/>
      <c r="E58" s="746"/>
      <c r="F58" s="744"/>
      <c r="G58" s="223" t="s">
        <v>313</v>
      </c>
      <c r="H58" s="191">
        <v>0.57999999999999996</v>
      </c>
      <c r="I58" s="745"/>
      <c r="J58" s="746"/>
    </row>
    <row r="59" spans="1:10" ht="14.25" thickBot="1" x14ac:dyDescent="0.2">
      <c r="A59" s="744">
        <v>11</v>
      </c>
      <c r="B59" s="190" t="s">
        <v>312</v>
      </c>
      <c r="C59" s="191">
        <v>0.38</v>
      </c>
      <c r="D59" s="745" t="s">
        <v>1</v>
      </c>
      <c r="E59" s="746"/>
      <c r="F59" s="744">
        <v>12</v>
      </c>
      <c r="G59" s="192"/>
      <c r="H59" s="193"/>
      <c r="I59" s="750"/>
      <c r="J59" s="746"/>
    </row>
    <row r="60" spans="1:10" ht="14.25" thickBot="1" x14ac:dyDescent="0.2">
      <c r="A60" s="744"/>
      <c r="B60" s="190" t="s">
        <v>313</v>
      </c>
      <c r="C60" s="191">
        <v>0.39</v>
      </c>
      <c r="D60" s="745"/>
      <c r="E60" s="746"/>
      <c r="F60" s="744"/>
      <c r="G60" s="194"/>
      <c r="H60" s="195"/>
      <c r="I60" s="750"/>
      <c r="J60" s="746"/>
    </row>
  </sheetData>
  <mergeCells count="149">
    <mergeCell ref="A59:A60"/>
    <mergeCell ref="D59:D60"/>
    <mergeCell ref="E59:E60"/>
    <mergeCell ref="F59:F60"/>
    <mergeCell ref="I59:I60"/>
    <mergeCell ref="J59:J60"/>
    <mergeCell ref="A57:A58"/>
    <mergeCell ref="D57:D58"/>
    <mergeCell ref="E57:E58"/>
    <mergeCell ref="F57:F58"/>
    <mergeCell ref="I57:I58"/>
    <mergeCell ref="J57:J58"/>
    <mergeCell ref="A55:A56"/>
    <mergeCell ref="D55:D56"/>
    <mergeCell ref="E55:E56"/>
    <mergeCell ref="F55:F56"/>
    <mergeCell ref="I55:I56"/>
    <mergeCell ref="J55:J56"/>
    <mergeCell ref="A53:A54"/>
    <mergeCell ref="D53:D54"/>
    <mergeCell ref="E53:E54"/>
    <mergeCell ref="F53:F54"/>
    <mergeCell ref="I53:I54"/>
    <mergeCell ref="J53:J54"/>
    <mergeCell ref="J49:J50"/>
    <mergeCell ref="A51:A52"/>
    <mergeCell ref="D51:D52"/>
    <mergeCell ref="E51:E52"/>
    <mergeCell ref="F51:F52"/>
    <mergeCell ref="I51:I52"/>
    <mergeCell ref="J51:J52"/>
    <mergeCell ref="A48:B48"/>
    <mergeCell ref="A49:A50"/>
    <mergeCell ref="D49:D50"/>
    <mergeCell ref="E49:E50"/>
    <mergeCell ref="F49:F50"/>
    <mergeCell ref="I49:I50"/>
    <mergeCell ref="A46:A47"/>
    <mergeCell ref="D46:D47"/>
    <mergeCell ref="E46:E47"/>
    <mergeCell ref="F46:F47"/>
    <mergeCell ref="I46:I47"/>
    <mergeCell ref="J46:J47"/>
    <mergeCell ref="A44:A45"/>
    <mergeCell ref="D44:D45"/>
    <mergeCell ref="E44:E45"/>
    <mergeCell ref="F44:F45"/>
    <mergeCell ref="I44:I45"/>
    <mergeCell ref="J44:J45"/>
    <mergeCell ref="I36:I37"/>
    <mergeCell ref="J36:J37"/>
    <mergeCell ref="A38:A39"/>
    <mergeCell ref="D38:D39"/>
    <mergeCell ref="E38:E39"/>
    <mergeCell ref="F38:F39"/>
    <mergeCell ref="I38:I39"/>
    <mergeCell ref="J38:J39"/>
    <mergeCell ref="A42:A43"/>
    <mergeCell ref="D42:D43"/>
    <mergeCell ref="E42:E43"/>
    <mergeCell ref="F42:F43"/>
    <mergeCell ref="I42:I43"/>
    <mergeCell ref="J42:J43"/>
    <mergeCell ref="A40:A41"/>
    <mergeCell ref="D40:D41"/>
    <mergeCell ref="E40:E41"/>
    <mergeCell ref="F40:F41"/>
    <mergeCell ref="I40:I41"/>
    <mergeCell ref="J40:J41"/>
    <mergeCell ref="A21:B21"/>
    <mergeCell ref="A34:B34"/>
    <mergeCell ref="A36:A37"/>
    <mergeCell ref="D36:D37"/>
    <mergeCell ref="A32:A33"/>
    <mergeCell ref="D32:D33"/>
    <mergeCell ref="E32:E33"/>
    <mergeCell ref="F32:F33"/>
    <mergeCell ref="A26:A27"/>
    <mergeCell ref="D26:D27"/>
    <mergeCell ref="E26:E27"/>
    <mergeCell ref="F26:F27"/>
    <mergeCell ref="E36:E37"/>
    <mergeCell ref="F36:F37"/>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I26:I27"/>
    <mergeCell ref="J26:J27"/>
    <mergeCell ref="A24:A25"/>
    <mergeCell ref="D24:D25"/>
    <mergeCell ref="E24:E25"/>
    <mergeCell ref="F24:F25"/>
    <mergeCell ref="I24:I25"/>
    <mergeCell ref="J24:J25"/>
    <mergeCell ref="A22:A23"/>
    <mergeCell ref="D22:D23"/>
    <mergeCell ref="E22:E23"/>
    <mergeCell ref="F22:F23"/>
    <mergeCell ref="I22:I23"/>
    <mergeCell ref="J22:J23"/>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9:A20"/>
    <mergeCell ref="D19:D20"/>
    <mergeCell ref="E19:E20"/>
    <mergeCell ref="F19:F20"/>
    <mergeCell ref="B3:I4"/>
    <mergeCell ref="A9:A10"/>
    <mergeCell ref="D9:D10"/>
    <mergeCell ref="E9:E10"/>
    <mergeCell ref="F9:F10"/>
    <mergeCell ref="I9:I10"/>
    <mergeCell ref="I13:I14"/>
    <mergeCell ref="J13:J14"/>
    <mergeCell ref="J9:J10"/>
    <mergeCell ref="A11:A12"/>
    <mergeCell ref="D11:D12"/>
    <mergeCell ref="E11:E12"/>
    <mergeCell ref="F11:F12"/>
    <mergeCell ref="I11:I12"/>
    <mergeCell ref="J11:J12"/>
    <mergeCell ref="A7:B7"/>
    <mergeCell ref="A13:A14"/>
    <mergeCell ref="D13:D14"/>
    <mergeCell ref="E13:E14"/>
    <mergeCell ref="F13:F14"/>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B7517-20A5-4989-AD31-2BD7A97B6D7F}">
  <dimension ref="A3:J60"/>
  <sheetViews>
    <sheetView tabSelected="1" view="pageBreakPreview" topLeftCell="A23" zoomScale="160" zoomScaleNormal="100" zoomScaleSheetLayoutView="160"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372</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0.4</v>
      </c>
      <c r="D9" s="745" t="s">
        <v>1</v>
      </c>
      <c r="E9" s="746"/>
      <c r="F9" s="744">
        <v>2</v>
      </c>
      <c r="G9" s="190" t="s">
        <v>312</v>
      </c>
      <c r="H9" s="191">
        <v>0.48</v>
      </c>
      <c r="I9" s="745" t="s">
        <v>339</v>
      </c>
      <c r="J9" s="746"/>
    </row>
    <row r="10" spans="1:10" ht="14.25" thickBot="1" x14ac:dyDescent="0.2">
      <c r="A10" s="744"/>
      <c r="B10" s="190" t="s">
        <v>313</v>
      </c>
      <c r="C10" s="191">
        <v>0.78</v>
      </c>
      <c r="D10" s="745"/>
      <c r="E10" s="746"/>
      <c r="F10" s="744"/>
      <c r="G10" s="190" t="s">
        <v>313</v>
      </c>
      <c r="H10" s="191">
        <v>0.54</v>
      </c>
      <c r="I10" s="745"/>
      <c r="J10" s="746"/>
    </row>
    <row r="11" spans="1:10" ht="14.25" thickBot="1" x14ac:dyDescent="0.2">
      <c r="A11" s="744">
        <v>3</v>
      </c>
      <c r="B11" s="190" t="s">
        <v>312</v>
      </c>
      <c r="C11" s="191">
        <v>0.41</v>
      </c>
      <c r="D11" s="745" t="s">
        <v>1</v>
      </c>
      <c r="E11" s="746"/>
      <c r="F11" s="744">
        <v>4</v>
      </c>
      <c r="G11" s="190" t="s">
        <v>312</v>
      </c>
      <c r="H11" s="191">
        <v>1.1100000000000001</v>
      </c>
      <c r="I11" s="745" t="s">
        <v>1</v>
      </c>
      <c r="J11" s="746"/>
    </row>
    <row r="12" spans="1:10" ht="14.25" thickBot="1" x14ac:dyDescent="0.2">
      <c r="A12" s="744"/>
      <c r="B12" s="190" t="s">
        <v>313</v>
      </c>
      <c r="C12" s="191">
        <v>0.56000000000000005</v>
      </c>
      <c r="D12" s="745"/>
      <c r="E12" s="746"/>
      <c r="F12" s="744"/>
      <c r="G12" s="190" t="s">
        <v>313</v>
      </c>
      <c r="H12" s="191">
        <v>0.95</v>
      </c>
      <c r="I12" s="745"/>
      <c r="J12" s="746"/>
    </row>
    <row r="13" spans="1:10" ht="14.25" thickBot="1" x14ac:dyDescent="0.2">
      <c r="A13" s="744">
        <v>5</v>
      </c>
      <c r="B13" s="190" t="s">
        <v>312</v>
      </c>
      <c r="C13" s="191">
        <v>0.56999999999999995</v>
      </c>
      <c r="D13" s="745" t="s">
        <v>1</v>
      </c>
      <c r="E13" s="746"/>
      <c r="F13" s="744">
        <v>6</v>
      </c>
      <c r="G13" s="190" t="s">
        <v>312</v>
      </c>
      <c r="H13" s="191">
        <v>0.47</v>
      </c>
      <c r="I13" s="745" t="s">
        <v>1</v>
      </c>
      <c r="J13" s="746"/>
    </row>
    <row r="14" spans="1:10" ht="14.25" thickBot="1" x14ac:dyDescent="0.2">
      <c r="A14" s="744"/>
      <c r="B14" s="190" t="s">
        <v>313</v>
      </c>
      <c r="C14" s="191">
        <v>0.62</v>
      </c>
      <c r="D14" s="745"/>
      <c r="E14" s="746"/>
      <c r="F14" s="744"/>
      <c r="G14" s="190" t="s">
        <v>313</v>
      </c>
      <c r="H14" s="191">
        <v>0.55000000000000004</v>
      </c>
      <c r="I14" s="745"/>
      <c r="J14" s="746"/>
    </row>
    <row r="15" spans="1:10" ht="14.25" thickBot="1" x14ac:dyDescent="0.2">
      <c r="A15" s="744">
        <v>7</v>
      </c>
      <c r="B15" s="190" t="s">
        <v>312</v>
      </c>
      <c r="C15" s="191">
        <v>0.48</v>
      </c>
      <c r="D15" s="745" t="s">
        <v>1</v>
      </c>
      <c r="E15" s="746"/>
      <c r="F15" s="744">
        <v>8</v>
      </c>
      <c r="G15" s="190" t="s">
        <v>312</v>
      </c>
      <c r="H15" s="191">
        <v>0.5</v>
      </c>
      <c r="I15" s="745" t="s">
        <v>1</v>
      </c>
      <c r="J15" s="751"/>
    </row>
    <row r="16" spans="1:10" ht="14.25" thickBot="1" x14ac:dyDescent="0.2">
      <c r="A16" s="744"/>
      <c r="B16" s="190" t="s">
        <v>313</v>
      </c>
      <c r="C16" s="191">
        <v>0.53</v>
      </c>
      <c r="D16" s="745"/>
      <c r="E16" s="746"/>
      <c r="F16" s="744"/>
      <c r="G16" s="190" t="s">
        <v>313</v>
      </c>
      <c r="H16" s="191">
        <v>0.68</v>
      </c>
      <c r="I16" s="745"/>
      <c r="J16" s="752"/>
    </row>
    <row r="17" spans="1:10" ht="14.25" thickBot="1" x14ac:dyDescent="0.2">
      <c r="A17" s="744">
        <v>9</v>
      </c>
      <c r="B17" s="190" t="s">
        <v>312</v>
      </c>
      <c r="C17" s="191">
        <v>0.87</v>
      </c>
      <c r="D17" s="745" t="s">
        <v>1</v>
      </c>
      <c r="E17" s="751"/>
      <c r="F17" s="744">
        <v>10</v>
      </c>
      <c r="G17" s="190" t="s">
        <v>312</v>
      </c>
      <c r="H17" s="191">
        <v>0.48</v>
      </c>
      <c r="I17" s="745" t="s">
        <v>1</v>
      </c>
      <c r="J17" s="751"/>
    </row>
    <row r="18" spans="1:10" ht="14.25" thickBot="1" x14ac:dyDescent="0.2">
      <c r="A18" s="744"/>
      <c r="B18" s="190" t="s">
        <v>313</v>
      </c>
      <c r="C18" s="191">
        <v>0.41</v>
      </c>
      <c r="D18" s="745"/>
      <c r="E18" s="752"/>
      <c r="F18" s="744"/>
      <c r="G18" s="190" t="s">
        <v>313</v>
      </c>
      <c r="H18" s="191">
        <v>0.62</v>
      </c>
      <c r="I18" s="745"/>
      <c r="J18" s="752"/>
    </row>
    <row r="19" spans="1:10" ht="14.25" thickBot="1" x14ac:dyDescent="0.2">
      <c r="A19" s="744">
        <v>11</v>
      </c>
      <c r="B19" s="190" t="s">
        <v>312</v>
      </c>
      <c r="C19" s="191">
        <v>0.56999999999999995</v>
      </c>
      <c r="D19" s="745" t="s">
        <v>1</v>
      </c>
      <c r="E19" s="746"/>
      <c r="F19" s="744">
        <v>12</v>
      </c>
      <c r="G19" s="190" t="s">
        <v>312</v>
      </c>
      <c r="H19" s="191">
        <v>0.56000000000000005</v>
      </c>
      <c r="I19" s="750"/>
      <c r="J19" s="746"/>
    </row>
    <row r="20" spans="1:10" ht="14.25" thickBot="1" x14ac:dyDescent="0.2">
      <c r="A20" s="744"/>
      <c r="B20" s="190" t="s">
        <v>313</v>
      </c>
      <c r="C20" s="191">
        <v>0.55000000000000004</v>
      </c>
      <c r="D20" s="745"/>
      <c r="E20" s="746"/>
      <c r="F20" s="744"/>
      <c r="G20" s="190" t="s">
        <v>313</v>
      </c>
      <c r="H20" s="191">
        <v>0.72</v>
      </c>
      <c r="I20" s="750"/>
      <c r="J20" s="746"/>
    </row>
    <row r="21" spans="1:10" ht="13.5" customHeight="1" thickBot="1" x14ac:dyDescent="0.2">
      <c r="A21" s="749" t="s">
        <v>373</v>
      </c>
      <c r="B21" s="749"/>
      <c r="C21" s="229"/>
      <c r="D21" s="229"/>
      <c r="E21" s="229"/>
      <c r="F21" s="229"/>
      <c r="G21" s="229"/>
      <c r="H21" s="229"/>
      <c r="I21" s="229"/>
      <c r="J21" s="230"/>
    </row>
    <row r="22" spans="1:10" ht="14.25" thickBot="1" x14ac:dyDescent="0.2">
      <c r="A22" s="744">
        <v>1</v>
      </c>
      <c r="B22" s="190" t="s">
        <v>312</v>
      </c>
      <c r="C22" s="191">
        <v>0.42</v>
      </c>
      <c r="D22" s="745" t="s">
        <v>1</v>
      </c>
      <c r="E22" s="746"/>
      <c r="F22" s="744">
        <v>2</v>
      </c>
      <c r="G22" s="196" t="s">
        <v>312</v>
      </c>
      <c r="H22" s="191">
        <v>0.56999999999999995</v>
      </c>
      <c r="I22" s="745" t="s">
        <v>1</v>
      </c>
      <c r="J22" s="746"/>
    </row>
    <row r="23" spans="1:10" ht="14.25" thickBot="1" x14ac:dyDescent="0.2">
      <c r="A23" s="744"/>
      <c r="B23" s="190" t="s">
        <v>313</v>
      </c>
      <c r="C23" s="191">
        <v>0.59</v>
      </c>
      <c r="D23" s="745"/>
      <c r="E23" s="746"/>
      <c r="F23" s="744"/>
      <c r="G23" s="196" t="s">
        <v>313</v>
      </c>
      <c r="H23" s="191">
        <v>0.59</v>
      </c>
      <c r="I23" s="745"/>
      <c r="J23" s="746"/>
    </row>
    <row r="24" spans="1:10" ht="12.95" customHeight="1" thickBot="1" x14ac:dyDescent="0.2">
      <c r="A24" s="744">
        <v>3</v>
      </c>
      <c r="B24" s="190" t="s">
        <v>312</v>
      </c>
      <c r="C24" s="191">
        <v>0.48</v>
      </c>
      <c r="D24" s="745" t="s">
        <v>1</v>
      </c>
      <c r="E24" s="746"/>
      <c r="F24" s="744">
        <v>4</v>
      </c>
      <c r="G24" s="196" t="s">
        <v>312</v>
      </c>
      <c r="H24" s="191">
        <v>0.49</v>
      </c>
      <c r="I24" s="745" t="s">
        <v>1</v>
      </c>
      <c r="J24" s="746"/>
    </row>
    <row r="25" spans="1:10" ht="14.25" thickBot="1" x14ac:dyDescent="0.2">
      <c r="A25" s="744"/>
      <c r="B25" s="190" t="s">
        <v>313</v>
      </c>
      <c r="C25" s="191">
        <v>0.54</v>
      </c>
      <c r="D25" s="745"/>
      <c r="E25" s="746"/>
      <c r="F25" s="744"/>
      <c r="G25" s="196" t="s">
        <v>313</v>
      </c>
      <c r="H25" s="191">
        <v>0.56000000000000005</v>
      </c>
      <c r="I25" s="745"/>
      <c r="J25" s="746"/>
    </row>
    <row r="26" spans="1:10" ht="14.25" thickBot="1" x14ac:dyDescent="0.2">
      <c r="A26" s="744">
        <v>5</v>
      </c>
      <c r="B26" s="190" t="s">
        <v>312</v>
      </c>
      <c r="C26" s="191">
        <v>0.5</v>
      </c>
      <c r="D26" s="745" t="s">
        <v>1</v>
      </c>
      <c r="E26" s="746"/>
      <c r="F26" s="744">
        <v>6</v>
      </c>
      <c r="G26" s="196" t="s">
        <v>312</v>
      </c>
      <c r="H26" s="191">
        <v>0.67</v>
      </c>
      <c r="I26" s="745" t="s">
        <v>1</v>
      </c>
      <c r="J26" s="746"/>
    </row>
    <row r="27" spans="1:10" ht="14.25" thickBot="1" x14ac:dyDescent="0.2">
      <c r="A27" s="744"/>
      <c r="B27" s="190" t="s">
        <v>313</v>
      </c>
      <c r="C27" s="191">
        <v>0.68</v>
      </c>
      <c r="D27" s="745"/>
      <c r="E27" s="746"/>
      <c r="F27" s="744"/>
      <c r="G27" s="196" t="s">
        <v>313</v>
      </c>
      <c r="H27" s="191">
        <v>0.51</v>
      </c>
      <c r="I27" s="745"/>
      <c r="J27" s="746"/>
    </row>
    <row r="28" spans="1:10" ht="14.25" thickBot="1" x14ac:dyDescent="0.2">
      <c r="A28" s="744">
        <v>7</v>
      </c>
      <c r="B28" s="190" t="s">
        <v>312</v>
      </c>
      <c r="C28" s="191">
        <v>0.48</v>
      </c>
      <c r="D28" s="745" t="s">
        <v>1</v>
      </c>
      <c r="E28" s="746"/>
      <c r="F28" s="744">
        <v>8</v>
      </c>
      <c r="G28" s="196" t="s">
        <v>312</v>
      </c>
      <c r="H28" s="191">
        <v>0.5</v>
      </c>
      <c r="I28" s="745" t="s">
        <v>1</v>
      </c>
      <c r="J28" s="746"/>
    </row>
    <row r="29" spans="1:10" ht="14.25" thickBot="1" x14ac:dyDescent="0.2">
      <c r="A29" s="744"/>
      <c r="B29" s="190" t="s">
        <v>313</v>
      </c>
      <c r="C29" s="191">
        <v>0.62</v>
      </c>
      <c r="D29" s="745"/>
      <c r="E29" s="746"/>
      <c r="F29" s="744"/>
      <c r="G29" s="196" t="s">
        <v>313</v>
      </c>
      <c r="H29" s="191">
        <v>0.59</v>
      </c>
      <c r="I29" s="745"/>
      <c r="J29" s="746"/>
    </row>
    <row r="30" spans="1:10" ht="14.25" thickBot="1" x14ac:dyDescent="0.2">
      <c r="A30" s="744">
        <v>9</v>
      </c>
      <c r="B30" s="190" t="s">
        <v>312</v>
      </c>
      <c r="C30" s="191">
        <v>0.42</v>
      </c>
      <c r="D30" s="745" t="s">
        <v>1</v>
      </c>
      <c r="E30" s="746"/>
      <c r="F30" s="744">
        <v>10</v>
      </c>
      <c r="G30" s="196" t="s">
        <v>312</v>
      </c>
      <c r="H30" s="191">
        <v>0.45</v>
      </c>
      <c r="I30" s="745" t="s">
        <v>1</v>
      </c>
      <c r="J30" s="746"/>
    </row>
    <row r="31" spans="1:10" ht="14.25" thickBot="1" x14ac:dyDescent="0.2">
      <c r="A31" s="744"/>
      <c r="B31" s="190" t="s">
        <v>313</v>
      </c>
      <c r="C31" s="191">
        <v>0.59</v>
      </c>
      <c r="D31" s="745"/>
      <c r="E31" s="746"/>
      <c r="F31" s="744"/>
      <c r="G31" s="196" t="s">
        <v>313</v>
      </c>
      <c r="H31" s="191">
        <v>0.65</v>
      </c>
      <c r="I31" s="745"/>
      <c r="J31" s="746"/>
    </row>
    <row r="32" spans="1:10" ht="14.25" thickBot="1" x14ac:dyDescent="0.2">
      <c r="A32" s="744">
        <v>11</v>
      </c>
      <c r="B32" s="190" t="s">
        <v>312</v>
      </c>
      <c r="C32" s="191">
        <v>0.48</v>
      </c>
      <c r="D32" s="745" t="s">
        <v>1</v>
      </c>
      <c r="E32" s="746"/>
      <c r="F32" s="744">
        <v>12</v>
      </c>
      <c r="G32" s="192"/>
      <c r="H32" s="193"/>
      <c r="I32" s="750"/>
      <c r="J32" s="746"/>
    </row>
    <row r="33" spans="1:10" ht="14.25" thickBot="1" x14ac:dyDescent="0.2">
      <c r="A33" s="744"/>
      <c r="B33" s="190" t="s">
        <v>313</v>
      </c>
      <c r="C33" s="191">
        <v>0.54</v>
      </c>
      <c r="D33" s="745"/>
      <c r="E33" s="746"/>
      <c r="F33" s="744"/>
      <c r="G33" s="194"/>
      <c r="H33" s="195"/>
      <c r="I33" s="750"/>
      <c r="J33" s="746"/>
    </row>
    <row r="34" spans="1:10" ht="14.25" thickBot="1" x14ac:dyDescent="0.2">
      <c r="A34" s="749" t="s">
        <v>374</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0.55000000000000004</v>
      </c>
      <c r="D36" s="745" t="s">
        <v>1</v>
      </c>
      <c r="E36" s="746"/>
      <c r="F36" s="744">
        <v>2</v>
      </c>
      <c r="G36" s="190" t="s">
        <v>312</v>
      </c>
      <c r="H36" s="191">
        <v>0.5</v>
      </c>
      <c r="I36" s="745" t="s">
        <v>339</v>
      </c>
      <c r="J36" s="746"/>
    </row>
    <row r="37" spans="1:10" ht="14.25" thickBot="1" x14ac:dyDescent="0.2">
      <c r="A37" s="744"/>
      <c r="B37" s="190" t="s">
        <v>313</v>
      </c>
      <c r="C37" s="191">
        <v>0.45</v>
      </c>
      <c r="D37" s="745"/>
      <c r="E37" s="746"/>
      <c r="F37" s="744"/>
      <c r="G37" s="190" t="s">
        <v>313</v>
      </c>
      <c r="H37" s="191">
        <v>0.61</v>
      </c>
      <c r="I37" s="745"/>
      <c r="J37" s="746"/>
    </row>
    <row r="38" spans="1:10" ht="13.5" customHeight="1" thickBot="1" x14ac:dyDescent="0.2">
      <c r="A38" s="744">
        <v>3</v>
      </c>
      <c r="B38" s="190" t="s">
        <v>312</v>
      </c>
      <c r="C38" s="191">
        <v>0.78</v>
      </c>
      <c r="D38" s="745" t="s">
        <v>1</v>
      </c>
      <c r="E38" s="746"/>
      <c r="F38" s="744">
        <v>4</v>
      </c>
      <c r="G38" s="190" t="s">
        <v>312</v>
      </c>
      <c r="H38" s="191">
        <v>0.49</v>
      </c>
      <c r="I38" s="745" t="s">
        <v>1</v>
      </c>
      <c r="J38" s="746"/>
    </row>
    <row r="39" spans="1:10" ht="13.5" customHeight="1" thickBot="1" x14ac:dyDescent="0.2">
      <c r="A39" s="744"/>
      <c r="B39" s="190" t="s">
        <v>313</v>
      </c>
      <c r="C39" s="191">
        <v>0.98</v>
      </c>
      <c r="D39" s="745"/>
      <c r="E39" s="746"/>
      <c r="F39" s="744"/>
      <c r="G39" s="190" t="s">
        <v>313</v>
      </c>
      <c r="H39" s="191">
        <v>0.71</v>
      </c>
      <c r="I39" s="745"/>
      <c r="J39" s="746"/>
    </row>
    <row r="40" spans="1:10" ht="14.25" thickBot="1" x14ac:dyDescent="0.2">
      <c r="A40" s="744">
        <v>5</v>
      </c>
      <c r="B40" s="190" t="s">
        <v>312</v>
      </c>
      <c r="C40" s="191">
        <v>0.48</v>
      </c>
      <c r="D40" s="745" t="s">
        <v>1</v>
      </c>
      <c r="E40" s="746"/>
      <c r="F40" s="744">
        <v>6</v>
      </c>
      <c r="G40" s="190" t="s">
        <v>312</v>
      </c>
      <c r="H40" s="191">
        <v>0.55000000000000004</v>
      </c>
      <c r="I40" s="745" t="s">
        <v>1</v>
      </c>
      <c r="J40" s="746"/>
    </row>
    <row r="41" spans="1:10" ht="14.25" thickBot="1" x14ac:dyDescent="0.2">
      <c r="A41" s="744"/>
      <c r="B41" s="190" t="s">
        <v>313</v>
      </c>
      <c r="C41" s="191">
        <v>0.51</v>
      </c>
      <c r="D41" s="745"/>
      <c r="E41" s="746"/>
      <c r="F41" s="744"/>
      <c r="G41" s="190" t="s">
        <v>313</v>
      </c>
      <c r="H41" s="191">
        <v>0.67</v>
      </c>
      <c r="I41" s="745"/>
      <c r="J41" s="746"/>
    </row>
    <row r="42" spans="1:10" ht="14.25" thickBot="1" x14ac:dyDescent="0.2">
      <c r="A42" s="744">
        <v>7</v>
      </c>
      <c r="B42" s="190" t="s">
        <v>312</v>
      </c>
      <c r="C42" s="191">
        <v>0.47</v>
      </c>
      <c r="D42" s="745" t="s">
        <v>1</v>
      </c>
      <c r="E42" s="746"/>
      <c r="F42" s="744">
        <v>8</v>
      </c>
      <c r="G42" s="190" t="s">
        <v>312</v>
      </c>
      <c r="H42" s="191">
        <v>0.71</v>
      </c>
      <c r="I42" s="745" t="s">
        <v>1</v>
      </c>
      <c r="J42" s="751"/>
    </row>
    <row r="43" spans="1:10" ht="14.25" thickBot="1" x14ac:dyDescent="0.2">
      <c r="A43" s="744"/>
      <c r="B43" s="190" t="s">
        <v>313</v>
      </c>
      <c r="C43" s="191">
        <v>0.55000000000000004</v>
      </c>
      <c r="D43" s="745"/>
      <c r="E43" s="746"/>
      <c r="F43" s="744"/>
      <c r="G43" s="190" t="s">
        <v>313</v>
      </c>
      <c r="H43" s="191">
        <v>0.63</v>
      </c>
      <c r="I43" s="745"/>
      <c r="J43" s="752"/>
    </row>
    <row r="44" spans="1:10" ht="14.25" thickBot="1" x14ac:dyDescent="0.2">
      <c r="A44" s="744">
        <v>9</v>
      </c>
      <c r="B44" s="190" t="s">
        <v>312</v>
      </c>
      <c r="C44" s="191">
        <v>0.66700000000000004</v>
      </c>
      <c r="D44" s="745" t="s">
        <v>1</v>
      </c>
      <c r="E44" s="751"/>
      <c r="F44" s="744">
        <v>10</v>
      </c>
      <c r="G44" s="190" t="s">
        <v>312</v>
      </c>
      <c r="H44" s="191">
        <v>0.51</v>
      </c>
      <c r="I44" s="745" t="s">
        <v>1</v>
      </c>
      <c r="J44" s="751"/>
    </row>
    <row r="45" spans="1:10" ht="14.25" thickBot="1" x14ac:dyDescent="0.2">
      <c r="A45" s="744"/>
      <c r="B45" s="190" t="s">
        <v>313</v>
      </c>
      <c r="C45" s="191">
        <v>0.68</v>
      </c>
      <c r="D45" s="745"/>
      <c r="E45" s="752"/>
      <c r="F45" s="744"/>
      <c r="G45" s="190" t="s">
        <v>313</v>
      </c>
      <c r="H45" s="191">
        <v>0.87</v>
      </c>
      <c r="I45" s="745"/>
      <c r="J45" s="752"/>
    </row>
    <row r="46" spans="1:10" ht="14.25" thickBot="1" x14ac:dyDescent="0.2">
      <c r="A46" s="744">
        <v>11</v>
      </c>
      <c r="B46" s="190" t="s">
        <v>312</v>
      </c>
      <c r="C46" s="191">
        <v>0.48</v>
      </c>
      <c r="D46" s="745" t="s">
        <v>1</v>
      </c>
      <c r="E46" s="746"/>
      <c r="F46" s="744">
        <v>12</v>
      </c>
      <c r="G46" s="190" t="s">
        <v>312</v>
      </c>
      <c r="H46" s="191">
        <v>0.55000000000000004</v>
      </c>
      <c r="I46" s="750"/>
      <c r="J46" s="746"/>
    </row>
    <row r="47" spans="1:10" ht="14.25" thickBot="1" x14ac:dyDescent="0.2">
      <c r="A47" s="744"/>
      <c r="B47" s="190" t="s">
        <v>313</v>
      </c>
      <c r="C47" s="191">
        <v>0.62</v>
      </c>
      <c r="D47" s="745"/>
      <c r="E47" s="746"/>
      <c r="F47" s="744"/>
      <c r="G47" s="190" t="s">
        <v>313</v>
      </c>
      <c r="H47" s="191">
        <v>0.67</v>
      </c>
      <c r="I47" s="750"/>
      <c r="J47" s="746"/>
    </row>
    <row r="48" spans="1:10" ht="14.25" thickBot="1" x14ac:dyDescent="0.2">
      <c r="A48" s="749" t="s">
        <v>375</v>
      </c>
      <c r="B48" s="749"/>
      <c r="C48" s="229"/>
      <c r="D48" s="229"/>
      <c r="E48" s="229"/>
      <c r="F48" s="229"/>
      <c r="G48" s="229"/>
      <c r="H48" s="229"/>
      <c r="I48" s="229"/>
      <c r="J48" s="230"/>
    </row>
    <row r="49" spans="1:10" ht="14.25" thickBot="1" x14ac:dyDescent="0.2">
      <c r="A49" s="744">
        <v>1</v>
      </c>
      <c r="B49" s="190" t="s">
        <v>312</v>
      </c>
      <c r="C49" s="191">
        <v>0.53</v>
      </c>
      <c r="D49" s="745" t="s">
        <v>1</v>
      </c>
      <c r="E49" s="746"/>
      <c r="F49" s="744">
        <v>2</v>
      </c>
      <c r="G49" s="223" t="s">
        <v>312</v>
      </c>
      <c r="H49" s="191">
        <v>0.53</v>
      </c>
      <c r="I49" s="745" t="s">
        <v>1</v>
      </c>
      <c r="J49" s="746"/>
    </row>
    <row r="50" spans="1:10" ht="14.25" thickBot="1" x14ac:dyDescent="0.2">
      <c r="A50" s="744"/>
      <c r="B50" s="190" t="s">
        <v>313</v>
      </c>
      <c r="C50" s="191">
        <v>0.61</v>
      </c>
      <c r="D50" s="745"/>
      <c r="E50" s="746"/>
      <c r="F50" s="744"/>
      <c r="G50" s="223" t="s">
        <v>313</v>
      </c>
      <c r="H50" s="191">
        <v>0.61</v>
      </c>
      <c r="I50" s="745"/>
      <c r="J50" s="746"/>
    </row>
    <row r="51" spans="1:10" ht="14.25" thickBot="1" x14ac:dyDescent="0.2">
      <c r="A51" s="744">
        <v>3</v>
      </c>
      <c r="B51" s="190" t="s">
        <v>312</v>
      </c>
      <c r="C51" s="191">
        <v>0.47</v>
      </c>
      <c r="D51" s="745" t="s">
        <v>1</v>
      </c>
      <c r="E51" s="746"/>
      <c r="F51" s="744">
        <v>4</v>
      </c>
      <c r="G51" s="223" t="s">
        <v>312</v>
      </c>
      <c r="H51" s="191">
        <v>0.54</v>
      </c>
      <c r="I51" s="745" t="s">
        <v>1</v>
      </c>
      <c r="J51" s="746"/>
    </row>
    <row r="52" spans="1:10" ht="14.25" thickBot="1" x14ac:dyDescent="0.2">
      <c r="A52" s="744"/>
      <c r="B52" s="190" t="s">
        <v>313</v>
      </c>
      <c r="C52" s="191">
        <v>0.62</v>
      </c>
      <c r="D52" s="745"/>
      <c r="E52" s="746"/>
      <c r="F52" s="744"/>
      <c r="G52" s="223" t="s">
        <v>313</v>
      </c>
      <c r="H52" s="191">
        <v>0.53</v>
      </c>
      <c r="I52" s="745"/>
      <c r="J52" s="746"/>
    </row>
    <row r="53" spans="1:10" ht="14.25" thickBot="1" x14ac:dyDescent="0.2">
      <c r="A53" s="744">
        <v>5</v>
      </c>
      <c r="B53" s="190" t="s">
        <v>312</v>
      </c>
      <c r="C53" s="191">
        <v>0.99</v>
      </c>
      <c r="D53" s="745" t="s">
        <v>1</v>
      </c>
      <c r="E53" s="746"/>
      <c r="F53" s="744">
        <v>6</v>
      </c>
      <c r="G53" s="223" t="s">
        <v>312</v>
      </c>
      <c r="H53" s="191">
        <v>0.61</v>
      </c>
      <c r="I53" s="745" t="s">
        <v>1</v>
      </c>
      <c r="J53" s="746"/>
    </row>
    <row r="54" spans="1:10" ht="14.25" thickBot="1" x14ac:dyDescent="0.2">
      <c r="A54" s="744"/>
      <c r="B54" s="190" t="s">
        <v>313</v>
      </c>
      <c r="C54" s="191">
        <v>1.1200000000000001</v>
      </c>
      <c r="D54" s="745"/>
      <c r="E54" s="746"/>
      <c r="F54" s="744"/>
      <c r="G54" s="223" t="s">
        <v>313</v>
      </c>
      <c r="H54" s="191">
        <v>0.56999999999999995</v>
      </c>
      <c r="I54" s="745"/>
      <c r="J54" s="746"/>
    </row>
    <row r="55" spans="1:10" ht="14.25" thickBot="1" x14ac:dyDescent="0.2">
      <c r="A55" s="744">
        <v>7</v>
      </c>
      <c r="B55" s="190" t="s">
        <v>312</v>
      </c>
      <c r="C55" s="191">
        <v>0.54</v>
      </c>
      <c r="D55" s="745" t="s">
        <v>1</v>
      </c>
      <c r="E55" s="746"/>
      <c r="F55" s="744">
        <v>8</v>
      </c>
      <c r="G55" s="223" t="s">
        <v>312</v>
      </c>
      <c r="H55" s="191">
        <v>0.66</v>
      </c>
      <c r="I55" s="745" t="s">
        <v>1</v>
      </c>
      <c r="J55" s="746"/>
    </row>
    <row r="56" spans="1:10" ht="14.25" thickBot="1" x14ac:dyDescent="0.2">
      <c r="A56" s="744"/>
      <c r="B56" s="190" t="s">
        <v>313</v>
      </c>
      <c r="C56" s="191">
        <v>0.6</v>
      </c>
      <c r="D56" s="745"/>
      <c r="E56" s="746"/>
      <c r="F56" s="744"/>
      <c r="G56" s="223" t="s">
        <v>313</v>
      </c>
      <c r="H56" s="191">
        <v>0.69</v>
      </c>
      <c r="I56" s="745"/>
      <c r="J56" s="746"/>
    </row>
    <row r="57" spans="1:10" ht="14.25" thickBot="1" x14ac:dyDescent="0.2">
      <c r="A57" s="744">
        <v>9</v>
      </c>
      <c r="B57" s="190" t="s">
        <v>312</v>
      </c>
      <c r="C57" s="191">
        <v>0.44</v>
      </c>
      <c r="D57" s="745" t="s">
        <v>1</v>
      </c>
      <c r="E57" s="746"/>
      <c r="F57" s="744">
        <v>10</v>
      </c>
      <c r="G57" s="223" t="s">
        <v>312</v>
      </c>
      <c r="H57" s="191">
        <v>0.55000000000000004</v>
      </c>
      <c r="I57" s="745" t="s">
        <v>1</v>
      </c>
      <c r="J57" s="746"/>
    </row>
    <row r="58" spans="1:10" ht="14.25" thickBot="1" x14ac:dyDescent="0.2">
      <c r="A58" s="744"/>
      <c r="B58" s="190" t="s">
        <v>313</v>
      </c>
      <c r="C58" s="191">
        <v>0.45</v>
      </c>
      <c r="D58" s="745"/>
      <c r="E58" s="746"/>
      <c r="F58" s="744"/>
      <c r="G58" s="223" t="s">
        <v>313</v>
      </c>
      <c r="H58" s="191">
        <v>0.63</v>
      </c>
      <c r="I58" s="745"/>
      <c r="J58" s="746"/>
    </row>
    <row r="59" spans="1:10" ht="14.25" thickBot="1" x14ac:dyDescent="0.2">
      <c r="A59" s="744">
        <v>11</v>
      </c>
      <c r="B59" s="190" t="s">
        <v>312</v>
      </c>
      <c r="C59" s="191">
        <v>0.48</v>
      </c>
      <c r="D59" s="745" t="s">
        <v>1</v>
      </c>
      <c r="E59" s="746"/>
      <c r="F59" s="744">
        <v>12</v>
      </c>
      <c r="G59" s="192"/>
      <c r="H59" s="193"/>
      <c r="I59" s="750"/>
      <c r="J59" s="746"/>
    </row>
    <row r="60" spans="1:10" ht="14.25" thickBot="1" x14ac:dyDescent="0.2">
      <c r="A60" s="744"/>
      <c r="B60" s="190" t="s">
        <v>313</v>
      </c>
      <c r="C60" s="191">
        <v>0.5</v>
      </c>
      <c r="D60" s="745"/>
      <c r="E60" s="746"/>
      <c r="F60" s="744"/>
      <c r="G60" s="194"/>
      <c r="H60" s="195"/>
      <c r="I60" s="750"/>
      <c r="J60" s="746"/>
    </row>
  </sheetData>
  <mergeCells count="149">
    <mergeCell ref="A59:A60"/>
    <mergeCell ref="D59:D60"/>
    <mergeCell ref="E59:E60"/>
    <mergeCell ref="F59:F60"/>
    <mergeCell ref="I59:I60"/>
    <mergeCell ref="J59:J60"/>
    <mergeCell ref="A57:A58"/>
    <mergeCell ref="D57:D58"/>
    <mergeCell ref="E57:E58"/>
    <mergeCell ref="F57:F58"/>
    <mergeCell ref="I57:I58"/>
    <mergeCell ref="J57:J58"/>
    <mergeCell ref="A55:A56"/>
    <mergeCell ref="D55:D56"/>
    <mergeCell ref="E55:E56"/>
    <mergeCell ref="F55:F56"/>
    <mergeCell ref="I55:I56"/>
    <mergeCell ref="J55:J56"/>
    <mergeCell ref="A53:A54"/>
    <mergeCell ref="D53:D54"/>
    <mergeCell ref="E53:E54"/>
    <mergeCell ref="F53:F54"/>
    <mergeCell ref="I53:I54"/>
    <mergeCell ref="J53:J54"/>
    <mergeCell ref="J49:J50"/>
    <mergeCell ref="A51:A52"/>
    <mergeCell ref="D51:D52"/>
    <mergeCell ref="E51:E52"/>
    <mergeCell ref="F51:F52"/>
    <mergeCell ref="I51:I52"/>
    <mergeCell ref="J51:J52"/>
    <mergeCell ref="A48:B48"/>
    <mergeCell ref="A49:A50"/>
    <mergeCell ref="D49:D50"/>
    <mergeCell ref="E49:E50"/>
    <mergeCell ref="F49:F50"/>
    <mergeCell ref="I49:I50"/>
    <mergeCell ref="A46:A47"/>
    <mergeCell ref="D46:D47"/>
    <mergeCell ref="E46:E47"/>
    <mergeCell ref="F46:F47"/>
    <mergeCell ref="I46:I47"/>
    <mergeCell ref="J46:J47"/>
    <mergeCell ref="A44:A45"/>
    <mergeCell ref="D44:D45"/>
    <mergeCell ref="E44:E45"/>
    <mergeCell ref="F44:F45"/>
    <mergeCell ref="I44:I45"/>
    <mergeCell ref="J44:J45"/>
    <mergeCell ref="A42:A43"/>
    <mergeCell ref="D42:D43"/>
    <mergeCell ref="E42:E43"/>
    <mergeCell ref="F42:F43"/>
    <mergeCell ref="I42:I43"/>
    <mergeCell ref="J42:J43"/>
    <mergeCell ref="A40:A41"/>
    <mergeCell ref="D40:D41"/>
    <mergeCell ref="E40:E41"/>
    <mergeCell ref="F40:F41"/>
    <mergeCell ref="I40:I41"/>
    <mergeCell ref="J40:J41"/>
    <mergeCell ref="J36:J37"/>
    <mergeCell ref="A38:A39"/>
    <mergeCell ref="D38:D39"/>
    <mergeCell ref="E38:E39"/>
    <mergeCell ref="F38:F39"/>
    <mergeCell ref="I38:I39"/>
    <mergeCell ref="J38:J39"/>
    <mergeCell ref="A34:B34"/>
    <mergeCell ref="A36:A37"/>
    <mergeCell ref="D36:D37"/>
    <mergeCell ref="E36:E37"/>
    <mergeCell ref="F36:F37"/>
    <mergeCell ref="I36:I37"/>
    <mergeCell ref="A32:A33"/>
    <mergeCell ref="D32:D33"/>
    <mergeCell ref="E32:E33"/>
    <mergeCell ref="F32:F33"/>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A26:A27"/>
    <mergeCell ref="D26:D27"/>
    <mergeCell ref="E26:E27"/>
    <mergeCell ref="F26:F27"/>
    <mergeCell ref="I26:I27"/>
    <mergeCell ref="J26:J27"/>
    <mergeCell ref="J22:J23"/>
    <mergeCell ref="A24:A25"/>
    <mergeCell ref="D24:D25"/>
    <mergeCell ref="E24:E25"/>
    <mergeCell ref="F24:F25"/>
    <mergeCell ref="I24:I25"/>
    <mergeCell ref="J24:J25"/>
    <mergeCell ref="A21:B21"/>
    <mergeCell ref="A22:A23"/>
    <mergeCell ref="D22:D23"/>
    <mergeCell ref="E22:E23"/>
    <mergeCell ref="F22:F23"/>
    <mergeCell ref="I22:I23"/>
    <mergeCell ref="A19:A20"/>
    <mergeCell ref="D19:D20"/>
    <mergeCell ref="E19:E20"/>
    <mergeCell ref="F19:F20"/>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3:A14"/>
    <mergeCell ref="D13:D14"/>
    <mergeCell ref="E13:E14"/>
    <mergeCell ref="F13:F14"/>
    <mergeCell ref="I13:I14"/>
    <mergeCell ref="J13:J14"/>
    <mergeCell ref="J9:J10"/>
    <mergeCell ref="A11:A12"/>
    <mergeCell ref="D11:D12"/>
    <mergeCell ref="E11:E12"/>
    <mergeCell ref="F11:F12"/>
    <mergeCell ref="I11:I12"/>
    <mergeCell ref="J11:J12"/>
    <mergeCell ref="B3:I4"/>
    <mergeCell ref="A7:B7"/>
    <mergeCell ref="A9:A10"/>
    <mergeCell ref="D9:D10"/>
    <mergeCell ref="E9:E10"/>
    <mergeCell ref="F9:F10"/>
    <mergeCell ref="I9:I10"/>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A114-A212-451F-A27A-411B72D68775}">
  <dimension ref="A3:J60"/>
  <sheetViews>
    <sheetView tabSelected="1" view="pageBreakPreview" topLeftCell="A45" zoomScale="130" zoomScaleNormal="100" zoomScaleSheetLayoutView="130"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376</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1.23</v>
      </c>
      <c r="D9" s="745" t="s">
        <v>1</v>
      </c>
      <c r="E9" s="746"/>
      <c r="F9" s="744">
        <v>2</v>
      </c>
      <c r="G9" s="190" t="s">
        <v>312</v>
      </c>
      <c r="H9" s="191">
        <v>0.41</v>
      </c>
      <c r="I9" s="745" t="s">
        <v>339</v>
      </c>
      <c r="J9" s="746"/>
    </row>
    <row r="10" spans="1:10" ht="14.25" thickBot="1" x14ac:dyDescent="0.2">
      <c r="A10" s="744"/>
      <c r="B10" s="190" t="s">
        <v>313</v>
      </c>
      <c r="C10" s="191">
        <v>1.47</v>
      </c>
      <c r="D10" s="745"/>
      <c r="E10" s="746"/>
      <c r="F10" s="744"/>
      <c r="G10" s="190" t="s">
        <v>313</v>
      </c>
      <c r="H10" s="191">
        <v>0.67</v>
      </c>
      <c r="I10" s="745"/>
      <c r="J10" s="746"/>
    </row>
    <row r="11" spans="1:10" ht="14.25" thickBot="1" x14ac:dyDescent="0.2">
      <c r="A11" s="744">
        <v>3</v>
      </c>
      <c r="B11" s="190" t="s">
        <v>312</v>
      </c>
      <c r="C11" s="191">
        <v>0.55000000000000004</v>
      </c>
      <c r="D11" s="745" t="s">
        <v>1</v>
      </c>
      <c r="E11" s="746"/>
      <c r="F11" s="744">
        <v>4</v>
      </c>
      <c r="G11" s="190" t="s">
        <v>312</v>
      </c>
      <c r="H11" s="191">
        <v>0.45</v>
      </c>
      <c r="I11" s="745" t="s">
        <v>1</v>
      </c>
      <c r="J11" s="746"/>
    </row>
    <row r="12" spans="1:10" ht="14.25" thickBot="1" x14ac:dyDescent="0.2">
      <c r="A12" s="744"/>
      <c r="B12" s="190" t="s">
        <v>313</v>
      </c>
      <c r="C12" s="191">
        <v>0.62</v>
      </c>
      <c r="D12" s="745"/>
      <c r="E12" s="746"/>
      <c r="F12" s="744"/>
      <c r="G12" s="190" t="s">
        <v>313</v>
      </c>
      <c r="H12" s="191">
        <v>0.63</v>
      </c>
      <c r="I12" s="745"/>
      <c r="J12" s="746"/>
    </row>
    <row r="13" spans="1:10" ht="14.25" thickBot="1" x14ac:dyDescent="0.2">
      <c r="A13" s="744">
        <v>5</v>
      </c>
      <c r="B13" s="190" t="s">
        <v>312</v>
      </c>
      <c r="C13" s="191">
        <v>0.42</v>
      </c>
      <c r="D13" s="745" t="s">
        <v>1</v>
      </c>
      <c r="E13" s="746"/>
      <c r="F13" s="744">
        <v>6</v>
      </c>
      <c r="G13" s="190" t="s">
        <v>312</v>
      </c>
      <c r="H13" s="191">
        <v>0.05</v>
      </c>
      <c r="I13" s="753" t="s">
        <v>358</v>
      </c>
      <c r="J13" s="746"/>
    </row>
    <row r="14" spans="1:10" ht="14.25" thickBot="1" x14ac:dyDescent="0.2">
      <c r="A14" s="744"/>
      <c r="B14" s="190" t="s">
        <v>313</v>
      </c>
      <c r="C14" s="191">
        <v>0.46</v>
      </c>
      <c r="D14" s="745"/>
      <c r="E14" s="746"/>
      <c r="F14" s="744"/>
      <c r="G14" s="190" t="s">
        <v>313</v>
      </c>
      <c r="H14" s="191">
        <v>0.12</v>
      </c>
      <c r="I14" s="753"/>
      <c r="J14" s="746"/>
    </row>
    <row r="15" spans="1:10" ht="14.25" thickBot="1" x14ac:dyDescent="0.2">
      <c r="A15" s="744">
        <v>7</v>
      </c>
      <c r="B15" s="190" t="s">
        <v>312</v>
      </c>
      <c r="C15" s="191">
        <v>0.62</v>
      </c>
      <c r="D15" s="745" t="s">
        <v>1</v>
      </c>
      <c r="E15" s="746"/>
      <c r="F15" s="744">
        <v>8</v>
      </c>
      <c r="G15" s="190" t="s">
        <v>312</v>
      </c>
      <c r="H15" s="191">
        <v>1.4</v>
      </c>
      <c r="I15" s="745" t="s">
        <v>1</v>
      </c>
      <c r="J15" s="751"/>
    </row>
    <row r="16" spans="1:10" ht="14.25" thickBot="1" x14ac:dyDescent="0.2">
      <c r="A16" s="744"/>
      <c r="B16" s="190" t="s">
        <v>313</v>
      </c>
      <c r="C16" s="191">
        <v>0.42</v>
      </c>
      <c r="D16" s="745"/>
      <c r="E16" s="746"/>
      <c r="F16" s="744"/>
      <c r="G16" s="190" t="s">
        <v>313</v>
      </c>
      <c r="H16" s="191">
        <v>1.78</v>
      </c>
      <c r="I16" s="745"/>
      <c r="J16" s="752"/>
    </row>
    <row r="17" spans="1:10" ht="14.25" thickBot="1" x14ac:dyDescent="0.2">
      <c r="A17" s="744">
        <v>9</v>
      </c>
      <c r="B17" s="190" t="s">
        <v>312</v>
      </c>
      <c r="C17" s="191">
        <v>0.62</v>
      </c>
      <c r="D17" s="745" t="s">
        <v>1</v>
      </c>
      <c r="E17" s="751"/>
      <c r="F17" s="744">
        <v>10</v>
      </c>
      <c r="G17" s="190" t="s">
        <v>312</v>
      </c>
      <c r="H17" s="191">
        <v>1.23</v>
      </c>
      <c r="I17" s="745" t="s">
        <v>1</v>
      </c>
      <c r="J17" s="751"/>
    </row>
    <row r="18" spans="1:10" ht="14.25" thickBot="1" x14ac:dyDescent="0.2">
      <c r="A18" s="744"/>
      <c r="B18" s="190" t="s">
        <v>313</v>
      </c>
      <c r="C18" s="191">
        <v>0.74</v>
      </c>
      <c r="D18" s="745"/>
      <c r="E18" s="752"/>
      <c r="F18" s="744"/>
      <c r="G18" s="190" t="s">
        <v>313</v>
      </c>
      <c r="H18" s="191">
        <v>1.31</v>
      </c>
      <c r="I18" s="745"/>
      <c r="J18" s="752"/>
    </row>
    <row r="19" spans="1:10" ht="14.25" thickBot="1" x14ac:dyDescent="0.2">
      <c r="A19" s="744">
        <v>11</v>
      </c>
      <c r="B19" s="190" t="s">
        <v>312</v>
      </c>
      <c r="C19" s="191">
        <v>0.41</v>
      </c>
      <c r="D19" s="745" t="s">
        <v>1</v>
      </c>
      <c r="E19" s="746"/>
      <c r="F19" s="744"/>
      <c r="G19" s="190"/>
      <c r="H19" s="191"/>
      <c r="I19" s="750"/>
      <c r="J19" s="746"/>
    </row>
    <row r="20" spans="1:10" ht="14.25" thickBot="1" x14ac:dyDescent="0.2">
      <c r="A20" s="744"/>
      <c r="B20" s="190" t="s">
        <v>313</v>
      </c>
      <c r="C20" s="191">
        <v>0.52</v>
      </c>
      <c r="D20" s="745"/>
      <c r="E20" s="746"/>
      <c r="F20" s="744"/>
      <c r="G20" s="190"/>
      <c r="H20" s="191"/>
      <c r="I20" s="750"/>
      <c r="J20" s="746"/>
    </row>
    <row r="21" spans="1:10" ht="13.5" customHeight="1" thickBot="1" x14ac:dyDescent="0.2">
      <c r="A21" s="749" t="s">
        <v>377</v>
      </c>
      <c r="B21" s="749"/>
      <c r="C21" s="229"/>
      <c r="D21" s="229"/>
      <c r="E21" s="229"/>
      <c r="F21" s="229"/>
      <c r="G21" s="229"/>
      <c r="H21" s="229"/>
      <c r="I21" s="229"/>
      <c r="J21" s="230"/>
    </row>
    <row r="22" spans="1:10" ht="14.25" thickBot="1" x14ac:dyDescent="0.2">
      <c r="A22" s="744">
        <v>1</v>
      </c>
      <c r="B22" s="190" t="s">
        <v>312</v>
      </c>
      <c r="C22" s="191">
        <v>1.2</v>
      </c>
      <c r="D22" s="745" t="s">
        <v>1</v>
      </c>
      <c r="E22" s="746"/>
      <c r="F22" s="744">
        <v>2</v>
      </c>
      <c r="G22" s="196" t="s">
        <v>312</v>
      </c>
      <c r="H22" s="191">
        <v>1.3</v>
      </c>
      <c r="I22" s="745" t="s">
        <v>1</v>
      </c>
      <c r="J22" s="746"/>
    </row>
    <row r="23" spans="1:10" ht="14.25" thickBot="1" x14ac:dyDescent="0.2">
      <c r="A23" s="744"/>
      <c r="B23" s="190" t="s">
        <v>313</v>
      </c>
      <c r="C23" s="191">
        <v>1.36</v>
      </c>
      <c r="D23" s="745"/>
      <c r="E23" s="746"/>
      <c r="F23" s="744"/>
      <c r="G23" s="196" t="s">
        <v>313</v>
      </c>
      <c r="H23" s="191">
        <v>1.78</v>
      </c>
      <c r="I23" s="745"/>
      <c r="J23" s="746"/>
    </row>
    <row r="24" spans="1:10" ht="12.95" customHeight="1" thickBot="1" x14ac:dyDescent="0.2">
      <c r="A24" s="744">
        <v>3</v>
      </c>
      <c r="B24" s="190" t="s">
        <v>312</v>
      </c>
      <c r="C24" s="191">
        <v>1.29</v>
      </c>
      <c r="D24" s="745" t="s">
        <v>1</v>
      </c>
      <c r="E24" s="746"/>
      <c r="F24" s="744">
        <v>4</v>
      </c>
      <c r="G24" s="196" t="s">
        <v>312</v>
      </c>
      <c r="H24" s="191">
        <v>0.98</v>
      </c>
      <c r="I24" s="745" t="s">
        <v>1</v>
      </c>
      <c r="J24" s="746"/>
    </row>
    <row r="25" spans="1:10" ht="14.25" thickBot="1" x14ac:dyDescent="0.2">
      <c r="A25" s="744"/>
      <c r="B25" s="190" t="s">
        <v>313</v>
      </c>
      <c r="C25" s="191">
        <v>1.49</v>
      </c>
      <c r="D25" s="745"/>
      <c r="E25" s="746"/>
      <c r="F25" s="744"/>
      <c r="G25" s="196" t="s">
        <v>313</v>
      </c>
      <c r="H25" s="191">
        <v>0.82</v>
      </c>
      <c r="I25" s="745"/>
      <c r="J25" s="746"/>
    </row>
    <row r="26" spans="1:10" ht="14.25" thickBot="1" x14ac:dyDescent="0.2">
      <c r="A26" s="744">
        <v>5</v>
      </c>
      <c r="B26" s="190" t="s">
        <v>312</v>
      </c>
      <c r="C26" s="191">
        <v>1.55</v>
      </c>
      <c r="D26" s="745" t="s">
        <v>1</v>
      </c>
      <c r="E26" s="746"/>
      <c r="F26" s="744">
        <v>6</v>
      </c>
      <c r="G26" s="196" t="s">
        <v>312</v>
      </c>
      <c r="H26" s="191">
        <v>0.52</v>
      </c>
      <c r="I26" s="745" t="s">
        <v>1</v>
      </c>
      <c r="J26" s="746"/>
    </row>
    <row r="27" spans="1:10" ht="14.25" thickBot="1" x14ac:dyDescent="0.2">
      <c r="A27" s="744"/>
      <c r="B27" s="190" t="s">
        <v>313</v>
      </c>
      <c r="C27" s="191">
        <v>1.78</v>
      </c>
      <c r="D27" s="745"/>
      <c r="E27" s="746"/>
      <c r="F27" s="744"/>
      <c r="G27" s="196" t="s">
        <v>313</v>
      </c>
      <c r="H27" s="191">
        <v>0.61</v>
      </c>
      <c r="I27" s="745"/>
      <c r="J27" s="746"/>
    </row>
    <row r="28" spans="1:10" ht="14.25" thickBot="1" x14ac:dyDescent="0.2">
      <c r="A28" s="744">
        <v>7</v>
      </c>
      <c r="B28" s="190" t="s">
        <v>312</v>
      </c>
      <c r="C28" s="191">
        <v>1.1000000000000001</v>
      </c>
      <c r="D28" s="745" t="s">
        <v>1</v>
      </c>
      <c r="E28" s="746"/>
      <c r="F28" s="744">
        <v>8</v>
      </c>
      <c r="G28" s="196" t="s">
        <v>312</v>
      </c>
      <c r="H28" s="191">
        <v>2.1</v>
      </c>
      <c r="I28" s="745" t="s">
        <v>1</v>
      </c>
      <c r="J28" s="746"/>
    </row>
    <row r="29" spans="1:10" ht="14.25" thickBot="1" x14ac:dyDescent="0.2">
      <c r="A29" s="744"/>
      <c r="B29" s="190" t="s">
        <v>313</v>
      </c>
      <c r="C29" s="191">
        <v>1.87</v>
      </c>
      <c r="D29" s="745"/>
      <c r="E29" s="746"/>
      <c r="F29" s="744"/>
      <c r="G29" s="196" t="s">
        <v>313</v>
      </c>
      <c r="H29" s="191">
        <v>1.87</v>
      </c>
      <c r="I29" s="745"/>
      <c r="J29" s="746"/>
    </row>
    <row r="30" spans="1:10" ht="14.25" thickBot="1" x14ac:dyDescent="0.2">
      <c r="A30" s="744">
        <v>9</v>
      </c>
      <c r="B30" s="190" t="s">
        <v>312</v>
      </c>
      <c r="C30" s="191">
        <v>0.67</v>
      </c>
      <c r="D30" s="745" t="s">
        <v>1</v>
      </c>
      <c r="E30" s="746"/>
      <c r="F30" s="744">
        <v>10</v>
      </c>
      <c r="G30" s="190" t="s">
        <v>312</v>
      </c>
      <c r="H30" s="191">
        <v>1.87</v>
      </c>
      <c r="I30" s="745" t="s">
        <v>1</v>
      </c>
      <c r="J30" s="746"/>
    </row>
    <row r="31" spans="1:10" ht="14.25" thickBot="1" x14ac:dyDescent="0.2">
      <c r="A31" s="744"/>
      <c r="B31" s="190" t="s">
        <v>313</v>
      </c>
      <c r="C31" s="191">
        <v>0.98</v>
      </c>
      <c r="D31" s="745"/>
      <c r="E31" s="746"/>
      <c r="F31" s="744"/>
      <c r="G31" s="190" t="s">
        <v>313</v>
      </c>
      <c r="H31" s="191">
        <v>1.92</v>
      </c>
      <c r="I31" s="745"/>
      <c r="J31" s="746"/>
    </row>
    <row r="32" spans="1:10" ht="14.25" thickBot="1" x14ac:dyDescent="0.2">
      <c r="A32" s="744">
        <v>11</v>
      </c>
      <c r="B32" s="190" t="s">
        <v>312</v>
      </c>
      <c r="C32" s="191">
        <v>1.56</v>
      </c>
      <c r="D32" s="745" t="s">
        <v>1</v>
      </c>
      <c r="E32" s="746"/>
      <c r="F32" s="744">
        <v>12</v>
      </c>
      <c r="G32" s="192"/>
      <c r="H32" s="193"/>
      <c r="I32" s="750"/>
      <c r="J32" s="746"/>
    </row>
    <row r="33" spans="1:10" ht="14.25" thickBot="1" x14ac:dyDescent="0.2">
      <c r="A33" s="744"/>
      <c r="B33" s="190" t="s">
        <v>313</v>
      </c>
      <c r="C33" s="191">
        <v>0.19800000000000001</v>
      </c>
      <c r="D33" s="745"/>
      <c r="E33" s="746"/>
      <c r="F33" s="744"/>
      <c r="G33" s="194"/>
      <c r="H33" s="195"/>
      <c r="I33" s="750"/>
      <c r="J33" s="746"/>
    </row>
    <row r="34" spans="1:10" ht="14.25" thickBot="1" x14ac:dyDescent="0.2">
      <c r="A34" s="749" t="s">
        <v>378</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0.76</v>
      </c>
      <c r="D36" s="745" t="s">
        <v>1</v>
      </c>
      <c r="E36" s="746"/>
      <c r="F36" s="744">
        <v>2</v>
      </c>
      <c r="G36" s="190" t="s">
        <v>312</v>
      </c>
      <c r="H36" s="191">
        <v>0.51</v>
      </c>
      <c r="I36" s="745" t="s">
        <v>339</v>
      </c>
      <c r="J36" s="746"/>
    </row>
    <row r="37" spans="1:10" ht="14.25" thickBot="1" x14ac:dyDescent="0.2">
      <c r="A37" s="744"/>
      <c r="B37" s="190" t="s">
        <v>313</v>
      </c>
      <c r="C37" s="191">
        <v>0.89</v>
      </c>
      <c r="D37" s="745"/>
      <c r="E37" s="746"/>
      <c r="F37" s="744"/>
      <c r="G37" s="190" t="s">
        <v>313</v>
      </c>
      <c r="H37" s="191">
        <v>0.56999999999999995</v>
      </c>
      <c r="I37" s="745"/>
      <c r="J37" s="746"/>
    </row>
    <row r="38" spans="1:10" ht="13.5" customHeight="1" thickBot="1" x14ac:dyDescent="0.2">
      <c r="A38" s="744">
        <v>3</v>
      </c>
      <c r="B38" s="190" t="s">
        <v>312</v>
      </c>
      <c r="C38" s="191">
        <v>0.48</v>
      </c>
      <c r="D38" s="745" t="s">
        <v>1</v>
      </c>
      <c r="E38" s="746"/>
      <c r="F38" s="744">
        <v>4</v>
      </c>
      <c r="G38" s="190" t="s">
        <v>312</v>
      </c>
      <c r="H38" s="191">
        <v>0.54</v>
      </c>
      <c r="I38" s="745" t="s">
        <v>1</v>
      </c>
      <c r="J38" s="746"/>
    </row>
    <row r="39" spans="1:10" ht="13.5" customHeight="1" thickBot="1" x14ac:dyDescent="0.2">
      <c r="A39" s="744"/>
      <c r="B39" s="190" t="s">
        <v>313</v>
      </c>
      <c r="C39" s="191">
        <v>0.66</v>
      </c>
      <c r="D39" s="745"/>
      <c r="E39" s="746"/>
      <c r="F39" s="744"/>
      <c r="G39" s="190" t="s">
        <v>313</v>
      </c>
      <c r="H39" s="191">
        <v>0.98</v>
      </c>
      <c r="I39" s="745"/>
      <c r="J39" s="746"/>
    </row>
    <row r="40" spans="1:10" ht="14.25" thickBot="1" x14ac:dyDescent="0.2">
      <c r="A40" s="744">
        <v>5</v>
      </c>
      <c r="B40" s="190" t="s">
        <v>312</v>
      </c>
      <c r="C40" s="191">
        <v>0.48</v>
      </c>
      <c r="D40" s="745" t="s">
        <v>1</v>
      </c>
      <c r="E40" s="746"/>
      <c r="F40" s="744">
        <v>6</v>
      </c>
      <c r="G40" s="190" t="s">
        <v>312</v>
      </c>
      <c r="H40" s="191">
        <v>0.49</v>
      </c>
      <c r="I40" s="745" t="s">
        <v>1</v>
      </c>
      <c r="J40" s="746"/>
    </row>
    <row r="41" spans="1:10" ht="14.25" thickBot="1" x14ac:dyDescent="0.2">
      <c r="A41" s="744"/>
      <c r="B41" s="190" t="s">
        <v>313</v>
      </c>
      <c r="C41" s="191">
        <v>0.59</v>
      </c>
      <c r="D41" s="745"/>
      <c r="E41" s="746"/>
      <c r="F41" s="744"/>
      <c r="G41" s="190" t="s">
        <v>313</v>
      </c>
      <c r="H41" s="191">
        <v>0.88</v>
      </c>
      <c r="I41" s="745"/>
      <c r="J41" s="746"/>
    </row>
    <row r="42" spans="1:10" ht="14.25" thickBot="1" x14ac:dyDescent="0.2">
      <c r="A42" s="744">
        <v>7</v>
      </c>
      <c r="B42" s="190" t="s">
        <v>312</v>
      </c>
      <c r="C42" s="191">
        <v>0.45</v>
      </c>
      <c r="D42" s="745" t="s">
        <v>1</v>
      </c>
      <c r="E42" s="746"/>
      <c r="F42" s="744">
        <v>8</v>
      </c>
      <c r="G42" s="190" t="s">
        <v>312</v>
      </c>
      <c r="H42" s="191">
        <v>0.91</v>
      </c>
      <c r="I42" s="745" t="s">
        <v>1</v>
      </c>
      <c r="J42" s="751"/>
    </row>
    <row r="43" spans="1:10" ht="14.25" thickBot="1" x14ac:dyDescent="0.2">
      <c r="A43" s="744"/>
      <c r="B43" s="190" t="s">
        <v>313</v>
      </c>
      <c r="C43" s="191">
        <v>0.65</v>
      </c>
      <c r="D43" s="745"/>
      <c r="E43" s="746"/>
      <c r="F43" s="744"/>
      <c r="G43" s="190" t="s">
        <v>313</v>
      </c>
      <c r="H43" s="191">
        <v>1.2</v>
      </c>
      <c r="I43" s="745"/>
      <c r="J43" s="752"/>
    </row>
    <row r="44" spans="1:10" ht="14.25" thickBot="1" x14ac:dyDescent="0.2">
      <c r="A44" s="744">
        <v>9</v>
      </c>
      <c r="B44" s="190" t="s">
        <v>312</v>
      </c>
      <c r="C44" s="191">
        <v>0.59</v>
      </c>
      <c r="D44" s="745" t="s">
        <v>1</v>
      </c>
      <c r="E44" s="751"/>
      <c r="F44" s="744">
        <v>10</v>
      </c>
      <c r="G44" s="190" t="s">
        <v>312</v>
      </c>
      <c r="H44" s="191">
        <v>0.67</v>
      </c>
      <c r="I44" s="745" t="s">
        <v>1</v>
      </c>
      <c r="J44" s="751"/>
    </row>
    <row r="45" spans="1:10" ht="14.25" thickBot="1" x14ac:dyDescent="0.2">
      <c r="A45" s="744"/>
      <c r="B45" s="190" t="s">
        <v>313</v>
      </c>
      <c r="C45" s="191">
        <v>0.69</v>
      </c>
      <c r="D45" s="745"/>
      <c r="E45" s="752"/>
      <c r="F45" s="744"/>
      <c r="G45" s="190" t="s">
        <v>313</v>
      </c>
      <c r="H45" s="191">
        <v>0.84</v>
      </c>
      <c r="I45" s="745"/>
      <c r="J45" s="752"/>
    </row>
    <row r="46" spans="1:10" ht="14.25" thickBot="1" x14ac:dyDescent="0.2">
      <c r="A46" s="744">
        <v>11</v>
      </c>
      <c r="B46" s="190" t="s">
        <v>312</v>
      </c>
      <c r="C46" s="191">
        <v>0.55000000000000004</v>
      </c>
      <c r="D46" s="745" t="s">
        <v>1</v>
      </c>
      <c r="E46" s="746"/>
      <c r="F46" s="744">
        <v>12</v>
      </c>
      <c r="G46" s="190" t="s">
        <v>312</v>
      </c>
      <c r="H46" s="191">
        <v>0.67</v>
      </c>
      <c r="I46" s="750"/>
      <c r="J46" s="746"/>
    </row>
    <row r="47" spans="1:10" ht="14.25" thickBot="1" x14ac:dyDescent="0.2">
      <c r="A47" s="744"/>
      <c r="B47" s="190" t="s">
        <v>313</v>
      </c>
      <c r="C47" s="191">
        <v>0.61</v>
      </c>
      <c r="D47" s="745"/>
      <c r="E47" s="746"/>
      <c r="F47" s="744"/>
      <c r="G47" s="190" t="s">
        <v>313</v>
      </c>
      <c r="H47" s="191">
        <v>0.81</v>
      </c>
      <c r="I47" s="750"/>
      <c r="J47" s="746"/>
    </row>
    <row r="48" spans="1:10" ht="14.25" thickBot="1" x14ac:dyDescent="0.2">
      <c r="A48" s="749" t="s">
        <v>379</v>
      </c>
      <c r="B48" s="749"/>
      <c r="C48" s="229"/>
      <c r="D48" s="229"/>
      <c r="E48" s="229"/>
      <c r="F48" s="229"/>
      <c r="G48" s="229"/>
      <c r="H48" s="229"/>
      <c r="I48" s="229"/>
      <c r="J48" s="230"/>
    </row>
    <row r="49" spans="1:10" ht="14.25" thickBot="1" x14ac:dyDescent="0.2">
      <c r="A49" s="744">
        <v>1</v>
      </c>
      <c r="B49" s="190" t="s">
        <v>312</v>
      </c>
      <c r="C49" s="191">
        <v>2.5</v>
      </c>
      <c r="D49" s="745" t="s">
        <v>1</v>
      </c>
      <c r="E49" s="746"/>
      <c r="F49" s="744">
        <v>2</v>
      </c>
      <c r="G49" s="196" t="s">
        <v>312</v>
      </c>
      <c r="H49" s="191">
        <v>1.01</v>
      </c>
      <c r="I49" s="745" t="s">
        <v>1</v>
      </c>
      <c r="J49" s="746"/>
    </row>
    <row r="50" spans="1:10" ht="14.25" thickBot="1" x14ac:dyDescent="0.2">
      <c r="A50" s="744"/>
      <c r="B50" s="190" t="s">
        <v>313</v>
      </c>
      <c r="C50" s="191">
        <v>2.97</v>
      </c>
      <c r="D50" s="745"/>
      <c r="E50" s="746"/>
      <c r="F50" s="744"/>
      <c r="G50" s="196" t="s">
        <v>313</v>
      </c>
      <c r="H50" s="191">
        <v>0.46</v>
      </c>
      <c r="I50" s="745"/>
      <c r="J50" s="746"/>
    </row>
    <row r="51" spans="1:10" ht="14.25" thickBot="1" x14ac:dyDescent="0.2">
      <c r="A51" s="744">
        <v>3</v>
      </c>
      <c r="B51" s="190" t="s">
        <v>312</v>
      </c>
      <c r="C51" s="191">
        <v>0.65</v>
      </c>
      <c r="D51" s="745" t="s">
        <v>1</v>
      </c>
      <c r="E51" s="746"/>
      <c r="F51" s="744">
        <v>4</v>
      </c>
      <c r="G51" s="196" t="s">
        <v>312</v>
      </c>
      <c r="H51" s="191">
        <v>1.3</v>
      </c>
      <c r="I51" s="745" t="s">
        <v>1</v>
      </c>
      <c r="J51" s="746"/>
    </row>
    <row r="52" spans="1:10" ht="14.25" thickBot="1" x14ac:dyDescent="0.2">
      <c r="A52" s="744"/>
      <c r="B52" s="190" t="s">
        <v>313</v>
      </c>
      <c r="C52" s="191">
        <v>0.51</v>
      </c>
      <c r="D52" s="745"/>
      <c r="E52" s="746"/>
      <c r="F52" s="744"/>
      <c r="G52" s="196" t="s">
        <v>313</v>
      </c>
      <c r="H52" s="191">
        <v>1.43</v>
      </c>
      <c r="I52" s="745"/>
      <c r="J52" s="746"/>
    </row>
    <row r="53" spans="1:10" ht="14.25" thickBot="1" x14ac:dyDescent="0.2">
      <c r="A53" s="744">
        <v>5</v>
      </c>
      <c r="B53" s="190" t="s">
        <v>312</v>
      </c>
      <c r="C53" s="191">
        <v>0.84</v>
      </c>
      <c r="D53" s="745" t="s">
        <v>1</v>
      </c>
      <c r="E53" s="746"/>
      <c r="F53" s="744">
        <v>6</v>
      </c>
      <c r="G53" s="196" t="s">
        <v>312</v>
      </c>
      <c r="H53" s="191">
        <v>0.78</v>
      </c>
      <c r="I53" s="745" t="s">
        <v>1</v>
      </c>
      <c r="J53" s="746"/>
    </row>
    <row r="54" spans="1:10" ht="14.25" thickBot="1" x14ac:dyDescent="0.2">
      <c r="A54" s="744"/>
      <c r="B54" s="190" t="s">
        <v>313</v>
      </c>
      <c r="C54" s="191">
        <v>0.92</v>
      </c>
      <c r="D54" s="745"/>
      <c r="E54" s="746"/>
      <c r="F54" s="744"/>
      <c r="G54" s="196" t="s">
        <v>313</v>
      </c>
      <c r="H54" s="191">
        <v>98</v>
      </c>
      <c r="I54" s="745"/>
      <c r="J54" s="746"/>
    </row>
    <row r="55" spans="1:10" ht="14.25" thickBot="1" x14ac:dyDescent="0.2">
      <c r="A55" s="744">
        <v>7</v>
      </c>
      <c r="B55" s="190" t="s">
        <v>312</v>
      </c>
      <c r="C55" s="191">
        <v>0.66</v>
      </c>
      <c r="D55" s="745" t="s">
        <v>1</v>
      </c>
      <c r="E55" s="746"/>
      <c r="F55" s="744">
        <v>8</v>
      </c>
      <c r="G55" s="196" t="s">
        <v>312</v>
      </c>
      <c r="H55" s="191">
        <v>1.1000000000000001</v>
      </c>
      <c r="I55" s="745" t="s">
        <v>1</v>
      </c>
      <c r="J55" s="746"/>
    </row>
    <row r="56" spans="1:10" ht="14.25" thickBot="1" x14ac:dyDescent="0.2">
      <c r="A56" s="744"/>
      <c r="B56" s="190" t="s">
        <v>313</v>
      </c>
      <c r="C56" s="191">
        <v>0.73</v>
      </c>
      <c r="D56" s="745"/>
      <c r="E56" s="746"/>
      <c r="F56" s="744"/>
      <c r="G56" s="196" t="s">
        <v>313</v>
      </c>
      <c r="H56" s="191">
        <v>0.99</v>
      </c>
      <c r="I56" s="745"/>
      <c r="J56" s="746"/>
    </row>
    <row r="57" spans="1:10" ht="14.25" thickBot="1" x14ac:dyDescent="0.2">
      <c r="A57" s="744">
        <v>9</v>
      </c>
      <c r="B57" s="190" t="s">
        <v>312</v>
      </c>
      <c r="C57" s="191">
        <v>1.19</v>
      </c>
      <c r="D57" s="745" t="s">
        <v>1</v>
      </c>
      <c r="E57" s="746"/>
      <c r="F57" s="744">
        <v>10</v>
      </c>
      <c r="G57" s="190" t="s">
        <v>312</v>
      </c>
      <c r="H57" s="191">
        <v>0.78</v>
      </c>
      <c r="I57" s="745" t="s">
        <v>1</v>
      </c>
      <c r="J57" s="746"/>
    </row>
    <row r="58" spans="1:10" ht="14.25" thickBot="1" x14ac:dyDescent="0.2">
      <c r="A58" s="744"/>
      <c r="B58" s="190" t="s">
        <v>313</v>
      </c>
      <c r="C58" s="191">
        <v>1.4</v>
      </c>
      <c r="D58" s="745"/>
      <c r="E58" s="746"/>
      <c r="F58" s="744"/>
      <c r="G58" s="190" t="s">
        <v>313</v>
      </c>
      <c r="H58" s="191">
        <v>0.93</v>
      </c>
      <c r="I58" s="745"/>
      <c r="J58" s="746"/>
    </row>
    <row r="59" spans="1:10" ht="14.25" thickBot="1" x14ac:dyDescent="0.2">
      <c r="A59" s="744">
        <v>11</v>
      </c>
      <c r="B59" s="190" t="s">
        <v>312</v>
      </c>
      <c r="C59" s="191">
        <v>0.44</v>
      </c>
      <c r="D59" s="745" t="s">
        <v>1</v>
      </c>
      <c r="E59" s="746"/>
      <c r="F59" s="744">
        <v>12</v>
      </c>
      <c r="G59" s="192"/>
      <c r="H59" s="193"/>
      <c r="I59" s="750"/>
      <c r="J59" s="746"/>
    </row>
    <row r="60" spans="1:10" ht="14.25" thickBot="1" x14ac:dyDescent="0.2">
      <c r="A60" s="744"/>
      <c r="B60" s="190" t="s">
        <v>313</v>
      </c>
      <c r="C60" s="191">
        <v>0.52</v>
      </c>
      <c r="D60" s="745"/>
      <c r="E60" s="746"/>
      <c r="F60" s="744"/>
      <c r="G60" s="194"/>
      <c r="H60" s="195"/>
      <c r="I60" s="750"/>
      <c r="J60" s="746"/>
    </row>
  </sheetData>
  <mergeCells count="149">
    <mergeCell ref="A59:A60"/>
    <mergeCell ref="D59:D60"/>
    <mergeCell ref="E59:E60"/>
    <mergeCell ref="F59:F60"/>
    <mergeCell ref="I59:I60"/>
    <mergeCell ref="J59:J60"/>
    <mergeCell ref="A57:A58"/>
    <mergeCell ref="D57:D58"/>
    <mergeCell ref="E57:E58"/>
    <mergeCell ref="F57:F58"/>
    <mergeCell ref="I57:I58"/>
    <mergeCell ref="J57:J58"/>
    <mergeCell ref="A55:A56"/>
    <mergeCell ref="D55:D56"/>
    <mergeCell ref="E55:E56"/>
    <mergeCell ref="F55:F56"/>
    <mergeCell ref="I55:I56"/>
    <mergeCell ref="J55:J56"/>
    <mergeCell ref="A53:A54"/>
    <mergeCell ref="D53:D54"/>
    <mergeCell ref="E53:E54"/>
    <mergeCell ref="F53:F54"/>
    <mergeCell ref="I53:I54"/>
    <mergeCell ref="J53:J54"/>
    <mergeCell ref="J49:J50"/>
    <mergeCell ref="A51:A52"/>
    <mergeCell ref="D51:D52"/>
    <mergeCell ref="E51:E52"/>
    <mergeCell ref="F51:F52"/>
    <mergeCell ref="I51:I52"/>
    <mergeCell ref="J51:J52"/>
    <mergeCell ref="A48:B48"/>
    <mergeCell ref="A49:A50"/>
    <mergeCell ref="D49:D50"/>
    <mergeCell ref="E49:E50"/>
    <mergeCell ref="F49:F50"/>
    <mergeCell ref="I49:I50"/>
    <mergeCell ref="A46:A47"/>
    <mergeCell ref="D46:D47"/>
    <mergeCell ref="E46:E47"/>
    <mergeCell ref="F46:F47"/>
    <mergeCell ref="I46:I47"/>
    <mergeCell ref="J46:J47"/>
    <mergeCell ref="A44:A45"/>
    <mergeCell ref="D44:D45"/>
    <mergeCell ref="E44:E45"/>
    <mergeCell ref="F44:F45"/>
    <mergeCell ref="I44:I45"/>
    <mergeCell ref="J44:J45"/>
    <mergeCell ref="A42:A43"/>
    <mergeCell ref="D42:D43"/>
    <mergeCell ref="E42:E43"/>
    <mergeCell ref="F42:F43"/>
    <mergeCell ref="I42:I43"/>
    <mergeCell ref="J42:J43"/>
    <mergeCell ref="A40:A41"/>
    <mergeCell ref="D40:D41"/>
    <mergeCell ref="E40:E41"/>
    <mergeCell ref="F40:F41"/>
    <mergeCell ref="I40:I41"/>
    <mergeCell ref="J40:J41"/>
    <mergeCell ref="J36:J37"/>
    <mergeCell ref="A38:A39"/>
    <mergeCell ref="D38:D39"/>
    <mergeCell ref="E38:E39"/>
    <mergeCell ref="F38:F39"/>
    <mergeCell ref="I38:I39"/>
    <mergeCell ref="J38:J39"/>
    <mergeCell ref="A34:B34"/>
    <mergeCell ref="A36:A37"/>
    <mergeCell ref="D36:D37"/>
    <mergeCell ref="E36:E37"/>
    <mergeCell ref="F36:F37"/>
    <mergeCell ref="I36:I37"/>
    <mergeCell ref="A32:A33"/>
    <mergeCell ref="D32:D33"/>
    <mergeCell ref="E32:E33"/>
    <mergeCell ref="F32:F33"/>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A26:A27"/>
    <mergeCell ref="D26:D27"/>
    <mergeCell ref="E26:E27"/>
    <mergeCell ref="F26:F27"/>
    <mergeCell ref="I26:I27"/>
    <mergeCell ref="J26:J27"/>
    <mergeCell ref="J22:J23"/>
    <mergeCell ref="A24:A25"/>
    <mergeCell ref="D24:D25"/>
    <mergeCell ref="E24:E25"/>
    <mergeCell ref="F24:F25"/>
    <mergeCell ref="I24:I25"/>
    <mergeCell ref="J24:J25"/>
    <mergeCell ref="A21:B21"/>
    <mergeCell ref="A22:A23"/>
    <mergeCell ref="D22:D23"/>
    <mergeCell ref="E22:E23"/>
    <mergeCell ref="F22:F23"/>
    <mergeCell ref="I22:I23"/>
    <mergeCell ref="A19:A20"/>
    <mergeCell ref="D19:D20"/>
    <mergeCell ref="E19:E20"/>
    <mergeCell ref="F19:F20"/>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3:A14"/>
    <mergeCell ref="D13:D14"/>
    <mergeCell ref="E13:E14"/>
    <mergeCell ref="F13:F14"/>
    <mergeCell ref="I13:I14"/>
    <mergeCell ref="J13:J14"/>
    <mergeCell ref="J9:J10"/>
    <mergeCell ref="A11:A12"/>
    <mergeCell ref="D11:D12"/>
    <mergeCell ref="E11:E12"/>
    <mergeCell ref="F11:F12"/>
    <mergeCell ref="I11:I12"/>
    <mergeCell ref="J11:J12"/>
    <mergeCell ref="B3:I4"/>
    <mergeCell ref="A7:B7"/>
    <mergeCell ref="A9:A10"/>
    <mergeCell ref="D9:D10"/>
    <mergeCell ref="E9:E10"/>
    <mergeCell ref="F9:F10"/>
    <mergeCell ref="I9:I10"/>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06DE-DF43-42C3-B683-C4A9B6E26B00}">
  <dimension ref="A3:J58"/>
  <sheetViews>
    <sheetView tabSelected="1" view="pageBreakPreview" topLeftCell="A43" zoomScale="115" zoomScaleNormal="100" zoomScaleSheetLayoutView="115"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380</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0.84</v>
      </c>
      <c r="D9" s="745" t="s">
        <v>1</v>
      </c>
      <c r="E9" s="746"/>
      <c r="F9" s="744">
        <v>2</v>
      </c>
      <c r="G9" s="190" t="s">
        <v>312</v>
      </c>
      <c r="H9" s="191">
        <v>0.56999999999999995</v>
      </c>
      <c r="I9" s="745" t="s">
        <v>339</v>
      </c>
      <c r="J9" s="746"/>
    </row>
    <row r="10" spans="1:10" ht="14.25" thickBot="1" x14ac:dyDescent="0.2">
      <c r="A10" s="744"/>
      <c r="B10" s="190" t="s">
        <v>313</v>
      </c>
      <c r="C10" s="191">
        <v>0.92</v>
      </c>
      <c r="D10" s="745"/>
      <c r="E10" s="746"/>
      <c r="F10" s="744"/>
      <c r="G10" s="190" t="s">
        <v>313</v>
      </c>
      <c r="H10" s="191">
        <v>0.59</v>
      </c>
      <c r="I10" s="745"/>
      <c r="J10" s="746"/>
    </row>
    <row r="11" spans="1:10" ht="14.25" thickBot="1" x14ac:dyDescent="0.2">
      <c r="A11" s="744">
        <v>3</v>
      </c>
      <c r="B11" s="190" t="s">
        <v>312</v>
      </c>
      <c r="C11" s="191">
        <v>0.66</v>
      </c>
      <c r="D11" s="745" t="s">
        <v>1</v>
      </c>
      <c r="E11" s="746"/>
      <c r="F11" s="744">
        <v>4</v>
      </c>
      <c r="G11" s="190" t="s">
        <v>312</v>
      </c>
      <c r="H11" s="191">
        <v>0.49</v>
      </c>
      <c r="I11" s="745" t="s">
        <v>1</v>
      </c>
      <c r="J11" s="746"/>
    </row>
    <row r="12" spans="1:10" ht="14.25" thickBot="1" x14ac:dyDescent="0.2">
      <c r="A12" s="744"/>
      <c r="B12" s="190" t="s">
        <v>313</v>
      </c>
      <c r="C12" s="191">
        <v>0.73</v>
      </c>
      <c r="D12" s="745"/>
      <c r="E12" s="746"/>
      <c r="F12" s="744"/>
      <c r="G12" s="190" t="s">
        <v>313</v>
      </c>
      <c r="H12" s="191">
        <v>0.48</v>
      </c>
      <c r="I12" s="745"/>
      <c r="J12" s="746"/>
    </row>
    <row r="13" spans="1:10" ht="14.25" thickBot="1" x14ac:dyDescent="0.2">
      <c r="A13" s="744">
        <v>5</v>
      </c>
      <c r="B13" s="190" t="s">
        <v>312</v>
      </c>
      <c r="C13" s="191">
        <v>0.69</v>
      </c>
      <c r="D13" s="745" t="s">
        <v>1</v>
      </c>
      <c r="E13" s="746"/>
      <c r="F13" s="744">
        <v>6</v>
      </c>
      <c r="G13" s="190" t="s">
        <v>312</v>
      </c>
      <c r="H13" s="191">
        <v>0.98</v>
      </c>
      <c r="I13" s="745" t="s">
        <v>1</v>
      </c>
      <c r="J13" s="746"/>
    </row>
    <row r="14" spans="1:10" ht="14.25" thickBot="1" x14ac:dyDescent="0.2">
      <c r="A14" s="744"/>
      <c r="B14" s="190" t="s">
        <v>313</v>
      </c>
      <c r="C14" s="191">
        <v>0.87</v>
      </c>
      <c r="D14" s="745"/>
      <c r="E14" s="746"/>
      <c r="F14" s="744"/>
      <c r="G14" s="190" t="s">
        <v>313</v>
      </c>
      <c r="H14" s="191">
        <v>1.1200000000000001</v>
      </c>
      <c r="I14" s="745"/>
      <c r="J14" s="746"/>
    </row>
    <row r="15" spans="1:10" ht="14.25" thickBot="1" x14ac:dyDescent="0.2">
      <c r="A15" s="744">
        <v>7</v>
      </c>
      <c r="B15" s="190" t="s">
        <v>312</v>
      </c>
      <c r="C15" s="191">
        <v>0.77</v>
      </c>
      <c r="D15" s="745" t="s">
        <v>1</v>
      </c>
      <c r="E15" s="746"/>
      <c r="F15" s="744">
        <v>8</v>
      </c>
      <c r="G15" s="190" t="s">
        <v>312</v>
      </c>
      <c r="H15" s="191">
        <v>0.76</v>
      </c>
      <c r="I15" s="745" t="s">
        <v>1</v>
      </c>
      <c r="J15" s="751"/>
    </row>
    <row r="16" spans="1:10" ht="14.25" thickBot="1" x14ac:dyDescent="0.2">
      <c r="A16" s="744"/>
      <c r="B16" s="190" t="s">
        <v>313</v>
      </c>
      <c r="C16" s="191">
        <v>0.82</v>
      </c>
      <c r="D16" s="745"/>
      <c r="E16" s="746"/>
      <c r="F16" s="744"/>
      <c r="G16" s="190" t="s">
        <v>313</v>
      </c>
      <c r="H16" s="191">
        <v>0.83</v>
      </c>
      <c r="I16" s="745"/>
      <c r="J16" s="752"/>
    </row>
    <row r="17" spans="1:10" ht="14.25" thickBot="1" x14ac:dyDescent="0.2">
      <c r="A17" s="744">
        <v>9</v>
      </c>
      <c r="B17" s="190" t="s">
        <v>312</v>
      </c>
      <c r="C17" s="191">
        <v>0.91</v>
      </c>
      <c r="D17" s="745" t="s">
        <v>1</v>
      </c>
      <c r="E17" s="751"/>
      <c r="F17" s="744">
        <v>10</v>
      </c>
      <c r="G17" s="190" t="s">
        <v>312</v>
      </c>
      <c r="H17" s="191">
        <v>0.93</v>
      </c>
      <c r="I17" s="745" t="s">
        <v>1</v>
      </c>
      <c r="J17" s="751"/>
    </row>
    <row r="18" spans="1:10" ht="14.25" thickBot="1" x14ac:dyDescent="0.2">
      <c r="A18" s="744"/>
      <c r="B18" s="190" t="s">
        <v>313</v>
      </c>
      <c r="C18" s="191">
        <v>1.1100000000000001</v>
      </c>
      <c r="D18" s="745"/>
      <c r="E18" s="752"/>
      <c r="F18" s="744"/>
      <c r="G18" s="190" t="s">
        <v>313</v>
      </c>
      <c r="H18" s="191">
        <v>1.1599999999999999</v>
      </c>
      <c r="I18" s="745"/>
      <c r="J18" s="752"/>
    </row>
    <row r="19" spans="1:10" ht="14.25" thickBot="1" x14ac:dyDescent="0.2">
      <c r="A19" s="744">
        <v>11</v>
      </c>
      <c r="B19" s="190" t="s">
        <v>312</v>
      </c>
      <c r="C19" s="191">
        <v>0.78</v>
      </c>
      <c r="D19" s="745" t="s">
        <v>1</v>
      </c>
      <c r="E19" s="746"/>
      <c r="F19" s="744">
        <v>12</v>
      </c>
      <c r="G19" s="190" t="s">
        <v>312</v>
      </c>
      <c r="H19" s="191">
        <v>0.67</v>
      </c>
      <c r="I19" s="750"/>
      <c r="J19" s="746"/>
    </row>
    <row r="20" spans="1:10" ht="14.25" thickBot="1" x14ac:dyDescent="0.2">
      <c r="A20" s="744"/>
      <c r="B20" s="190" t="s">
        <v>313</v>
      </c>
      <c r="C20" s="191">
        <v>0.96</v>
      </c>
      <c r="D20" s="745"/>
      <c r="E20" s="746"/>
      <c r="F20" s="744"/>
      <c r="G20" s="190" t="s">
        <v>313</v>
      </c>
      <c r="H20" s="191">
        <v>0.82</v>
      </c>
      <c r="I20" s="750"/>
      <c r="J20" s="746"/>
    </row>
    <row r="21" spans="1:10" ht="13.5" customHeight="1" thickBot="1" x14ac:dyDescent="0.2">
      <c r="A21" s="749" t="s">
        <v>381</v>
      </c>
      <c r="B21" s="749"/>
      <c r="C21" s="229"/>
      <c r="D21" s="229"/>
      <c r="E21" s="229"/>
      <c r="F21" s="229"/>
      <c r="G21" s="229"/>
      <c r="H21" s="229"/>
      <c r="I21" s="229"/>
      <c r="J21" s="230"/>
    </row>
    <row r="22" spans="1:10" ht="14.25" thickBot="1" x14ac:dyDescent="0.2">
      <c r="A22" s="744">
        <v>1</v>
      </c>
      <c r="B22" s="190" t="s">
        <v>312</v>
      </c>
      <c r="C22" s="191">
        <v>0.46</v>
      </c>
      <c r="D22" s="745" t="s">
        <v>1</v>
      </c>
      <c r="E22" s="746"/>
      <c r="F22" s="744">
        <v>2</v>
      </c>
      <c r="G22" s="196" t="s">
        <v>312</v>
      </c>
      <c r="H22" s="191">
        <v>0.65</v>
      </c>
      <c r="I22" s="745" t="s">
        <v>1</v>
      </c>
      <c r="J22" s="746"/>
    </row>
    <row r="23" spans="1:10" ht="14.25" thickBot="1" x14ac:dyDescent="0.2">
      <c r="A23" s="744"/>
      <c r="B23" s="190" t="s">
        <v>313</v>
      </c>
      <c r="C23" s="191">
        <v>0.56999999999999995</v>
      </c>
      <c r="D23" s="745"/>
      <c r="E23" s="746"/>
      <c r="F23" s="744"/>
      <c r="G23" s="196" t="s">
        <v>313</v>
      </c>
      <c r="H23" s="191">
        <v>0.87</v>
      </c>
      <c r="I23" s="745"/>
      <c r="J23" s="746"/>
    </row>
    <row r="24" spans="1:10" ht="12.95" customHeight="1" thickBot="1" x14ac:dyDescent="0.2">
      <c r="A24" s="744">
        <v>3</v>
      </c>
      <c r="B24" s="190" t="s">
        <v>312</v>
      </c>
      <c r="C24" s="191">
        <v>0.51</v>
      </c>
      <c r="D24" s="745" t="s">
        <v>1</v>
      </c>
      <c r="E24" s="746"/>
      <c r="F24" s="744">
        <v>4</v>
      </c>
      <c r="G24" s="196" t="s">
        <v>312</v>
      </c>
      <c r="H24" s="191">
        <v>0.54</v>
      </c>
      <c r="I24" s="745" t="s">
        <v>1</v>
      </c>
      <c r="J24" s="746"/>
    </row>
    <row r="25" spans="1:10" ht="14.25" thickBot="1" x14ac:dyDescent="0.2">
      <c r="A25" s="744"/>
      <c r="B25" s="190" t="s">
        <v>313</v>
      </c>
      <c r="C25" s="191">
        <v>0.57999999999999996</v>
      </c>
      <c r="D25" s="745"/>
      <c r="E25" s="746"/>
      <c r="F25" s="744"/>
      <c r="G25" s="196" t="s">
        <v>313</v>
      </c>
      <c r="H25" s="191">
        <v>0.67</v>
      </c>
      <c r="I25" s="745"/>
      <c r="J25" s="746"/>
    </row>
    <row r="26" spans="1:10" ht="14.25" thickBot="1" x14ac:dyDescent="0.2">
      <c r="A26" s="744">
        <v>5</v>
      </c>
      <c r="B26" s="190" t="s">
        <v>312</v>
      </c>
      <c r="C26" s="191">
        <v>0.56999999999999995</v>
      </c>
      <c r="D26" s="745" t="s">
        <v>1</v>
      </c>
      <c r="E26" s="746"/>
      <c r="F26" s="744">
        <v>6</v>
      </c>
      <c r="G26" s="196" t="s">
        <v>312</v>
      </c>
      <c r="H26" s="191">
        <v>0.84</v>
      </c>
      <c r="I26" s="745" t="s">
        <v>1</v>
      </c>
      <c r="J26" s="746"/>
    </row>
    <row r="27" spans="1:10" ht="14.25" thickBot="1" x14ac:dyDescent="0.2">
      <c r="A27" s="744"/>
      <c r="B27" s="190" t="s">
        <v>313</v>
      </c>
      <c r="C27" s="191">
        <v>0.51</v>
      </c>
      <c r="D27" s="745"/>
      <c r="E27" s="746"/>
      <c r="F27" s="744"/>
      <c r="G27" s="196" t="s">
        <v>313</v>
      </c>
      <c r="H27" s="191">
        <v>0.99</v>
      </c>
      <c r="I27" s="745"/>
      <c r="J27" s="746"/>
    </row>
    <row r="28" spans="1:10" ht="14.25" thickBot="1" x14ac:dyDescent="0.2">
      <c r="A28" s="744">
        <v>7</v>
      </c>
      <c r="B28" s="190" t="s">
        <v>312</v>
      </c>
      <c r="C28" s="191">
        <v>0.46</v>
      </c>
      <c r="D28" s="745" t="s">
        <v>1</v>
      </c>
      <c r="E28" s="746"/>
      <c r="F28" s="744">
        <v>8</v>
      </c>
      <c r="G28" s="196" t="s">
        <v>312</v>
      </c>
      <c r="H28" s="191">
        <v>0.93</v>
      </c>
      <c r="I28" s="745" t="s">
        <v>1</v>
      </c>
      <c r="J28" s="746"/>
    </row>
    <row r="29" spans="1:10" ht="14.25" thickBot="1" x14ac:dyDescent="0.2">
      <c r="A29" s="744"/>
      <c r="B29" s="190" t="s">
        <v>313</v>
      </c>
      <c r="C29" s="191">
        <v>0.47</v>
      </c>
      <c r="D29" s="745"/>
      <c r="E29" s="746"/>
      <c r="F29" s="744"/>
      <c r="G29" s="196" t="s">
        <v>313</v>
      </c>
      <c r="H29" s="191">
        <v>1.3</v>
      </c>
      <c r="I29" s="745"/>
      <c r="J29" s="746"/>
    </row>
    <row r="30" spans="1:10" ht="14.25" thickBot="1" x14ac:dyDescent="0.2">
      <c r="A30" s="744">
        <v>9</v>
      </c>
      <c r="B30" s="190" t="s">
        <v>312</v>
      </c>
      <c r="C30" s="191">
        <v>0.65</v>
      </c>
      <c r="D30" s="745" t="s">
        <v>1</v>
      </c>
      <c r="E30" s="746"/>
      <c r="F30" s="744">
        <v>10</v>
      </c>
      <c r="G30" s="190" t="s">
        <v>312</v>
      </c>
      <c r="H30" s="191">
        <v>0.76</v>
      </c>
      <c r="I30" s="745" t="s">
        <v>1</v>
      </c>
      <c r="J30" s="746"/>
    </row>
    <row r="31" spans="1:10" ht="14.25" thickBot="1" x14ac:dyDescent="0.2">
      <c r="A31" s="744"/>
      <c r="B31" s="190" t="s">
        <v>313</v>
      </c>
      <c r="C31" s="191">
        <v>0.52</v>
      </c>
      <c r="D31" s="745"/>
      <c r="E31" s="746"/>
      <c r="F31" s="744"/>
      <c r="G31" s="190" t="s">
        <v>313</v>
      </c>
      <c r="H31" s="191">
        <v>0.83</v>
      </c>
      <c r="I31" s="745"/>
      <c r="J31" s="746"/>
    </row>
    <row r="32" spans="1:10" ht="14.25" thickBot="1" x14ac:dyDescent="0.2">
      <c r="A32" s="744">
        <v>11</v>
      </c>
      <c r="B32" s="190" t="s">
        <v>312</v>
      </c>
      <c r="C32" s="191">
        <v>0.69</v>
      </c>
      <c r="D32" s="745" t="s">
        <v>1</v>
      </c>
      <c r="E32" s="746"/>
      <c r="F32" s="744">
        <v>12</v>
      </c>
      <c r="G32" s="192"/>
      <c r="H32" s="193"/>
      <c r="I32" s="750"/>
      <c r="J32" s="746"/>
    </row>
    <row r="33" spans="1:10" ht="14.25" thickBot="1" x14ac:dyDescent="0.2">
      <c r="A33" s="744"/>
      <c r="B33" s="190" t="s">
        <v>313</v>
      </c>
      <c r="C33" s="191">
        <v>0.59</v>
      </c>
      <c r="D33" s="745"/>
      <c r="E33" s="746"/>
      <c r="F33" s="744"/>
      <c r="G33" s="194"/>
      <c r="H33" s="195"/>
      <c r="I33" s="750"/>
      <c r="J33" s="746"/>
    </row>
    <row r="34" spans="1:10" ht="14.25" thickBot="1" x14ac:dyDescent="0.2">
      <c r="A34" s="749" t="s">
        <v>382</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1.28</v>
      </c>
      <c r="D36" s="745" t="s">
        <v>1</v>
      </c>
      <c r="E36" s="746"/>
      <c r="F36" s="744">
        <v>2</v>
      </c>
      <c r="G36" s="190" t="s">
        <v>312</v>
      </c>
      <c r="H36" s="191">
        <v>1.22</v>
      </c>
      <c r="I36" s="745" t="s">
        <v>339</v>
      </c>
      <c r="J36" s="746"/>
    </row>
    <row r="37" spans="1:10" ht="14.25" thickBot="1" x14ac:dyDescent="0.2">
      <c r="A37" s="744"/>
      <c r="B37" s="190" t="s">
        <v>313</v>
      </c>
      <c r="C37" s="191">
        <v>1.45</v>
      </c>
      <c r="D37" s="745"/>
      <c r="E37" s="746"/>
      <c r="F37" s="744"/>
      <c r="G37" s="190" t="s">
        <v>313</v>
      </c>
      <c r="H37" s="191">
        <v>1.41</v>
      </c>
      <c r="I37" s="745"/>
      <c r="J37" s="746"/>
    </row>
    <row r="38" spans="1:10" ht="13.5" customHeight="1" thickBot="1" x14ac:dyDescent="0.2">
      <c r="A38" s="744">
        <v>3</v>
      </c>
      <c r="B38" s="190" t="s">
        <v>312</v>
      </c>
      <c r="C38" s="191">
        <v>1.32</v>
      </c>
      <c r="D38" s="745" t="s">
        <v>1</v>
      </c>
      <c r="E38" s="746"/>
      <c r="F38" s="744">
        <v>4</v>
      </c>
      <c r="G38" s="190" t="s">
        <v>312</v>
      </c>
      <c r="H38" s="191">
        <v>0.65</v>
      </c>
      <c r="I38" s="745" t="s">
        <v>1</v>
      </c>
      <c r="J38" s="746"/>
    </row>
    <row r="39" spans="1:10" ht="13.5" customHeight="1" thickBot="1" x14ac:dyDescent="0.2">
      <c r="A39" s="744"/>
      <c r="B39" s="190" t="s">
        <v>313</v>
      </c>
      <c r="C39" s="191">
        <v>1.89</v>
      </c>
      <c r="D39" s="745"/>
      <c r="E39" s="746"/>
      <c r="F39" s="744"/>
      <c r="G39" s="190" t="s">
        <v>313</v>
      </c>
      <c r="H39" s="191">
        <v>0.78</v>
      </c>
      <c r="I39" s="745"/>
      <c r="J39" s="746"/>
    </row>
    <row r="40" spans="1:10" ht="14.25" thickBot="1" x14ac:dyDescent="0.2">
      <c r="A40" s="744">
        <v>5</v>
      </c>
      <c r="B40" s="190" t="s">
        <v>312</v>
      </c>
      <c r="C40" s="191">
        <v>0.87</v>
      </c>
      <c r="D40" s="745" t="s">
        <v>1</v>
      </c>
      <c r="E40" s="746"/>
      <c r="F40" s="744">
        <v>6</v>
      </c>
      <c r="G40" s="190" t="s">
        <v>312</v>
      </c>
      <c r="H40" s="191">
        <v>1.56</v>
      </c>
      <c r="I40" s="745" t="s">
        <v>1</v>
      </c>
      <c r="J40" s="746"/>
    </row>
    <row r="41" spans="1:10" ht="14.25" thickBot="1" x14ac:dyDescent="0.2">
      <c r="A41" s="744"/>
      <c r="B41" s="190" t="s">
        <v>313</v>
      </c>
      <c r="C41" s="191">
        <v>0.95</v>
      </c>
      <c r="D41" s="745"/>
      <c r="E41" s="746"/>
      <c r="F41" s="744"/>
      <c r="G41" s="190" t="s">
        <v>313</v>
      </c>
      <c r="H41" s="191">
        <v>1.69</v>
      </c>
      <c r="I41" s="745"/>
      <c r="J41" s="746"/>
    </row>
    <row r="42" spans="1:10" ht="14.25" thickBot="1" x14ac:dyDescent="0.2">
      <c r="A42" s="744">
        <v>7</v>
      </c>
      <c r="B42" s="190" t="s">
        <v>312</v>
      </c>
      <c r="C42" s="191">
        <v>0.67</v>
      </c>
      <c r="D42" s="745" t="s">
        <v>1</v>
      </c>
      <c r="E42" s="746"/>
      <c r="F42" s="744">
        <v>8</v>
      </c>
      <c r="G42" s="190" t="s">
        <v>312</v>
      </c>
      <c r="H42" s="191">
        <v>0.62</v>
      </c>
      <c r="I42" s="745" t="s">
        <v>1</v>
      </c>
      <c r="J42" s="751"/>
    </row>
    <row r="43" spans="1:10" ht="14.25" thickBot="1" x14ac:dyDescent="0.2">
      <c r="A43" s="744"/>
      <c r="B43" s="190" t="s">
        <v>313</v>
      </c>
      <c r="C43" s="191">
        <v>0.84</v>
      </c>
      <c r="D43" s="745"/>
      <c r="E43" s="746"/>
      <c r="F43" s="744"/>
      <c r="G43" s="190" t="s">
        <v>313</v>
      </c>
      <c r="H43" s="191">
        <v>0.98</v>
      </c>
      <c r="I43" s="745"/>
      <c r="J43" s="752"/>
    </row>
    <row r="44" spans="1:10" ht="14.25" thickBot="1" x14ac:dyDescent="0.2">
      <c r="A44" s="744">
        <v>9</v>
      </c>
      <c r="B44" s="190" t="s">
        <v>312</v>
      </c>
      <c r="C44" s="191">
        <v>1.5</v>
      </c>
      <c r="D44" s="745" t="s">
        <v>1</v>
      </c>
      <c r="E44" s="751"/>
      <c r="F44" s="744">
        <v>10</v>
      </c>
      <c r="G44" s="190" t="s">
        <v>312</v>
      </c>
      <c r="H44" s="191">
        <v>1.34</v>
      </c>
      <c r="I44" s="745" t="s">
        <v>1</v>
      </c>
      <c r="J44" s="751"/>
    </row>
    <row r="45" spans="1:10" ht="14.25" thickBot="1" x14ac:dyDescent="0.2">
      <c r="A45" s="744"/>
      <c r="B45" s="190" t="s">
        <v>313</v>
      </c>
      <c r="C45" s="191">
        <v>1.65</v>
      </c>
      <c r="D45" s="745"/>
      <c r="E45" s="752"/>
      <c r="F45" s="744"/>
      <c r="G45" s="190" t="s">
        <v>313</v>
      </c>
      <c r="H45" s="191">
        <v>1.76</v>
      </c>
      <c r="I45" s="745"/>
      <c r="J45" s="752"/>
    </row>
    <row r="46" spans="1:10" ht="14.25" thickBot="1" x14ac:dyDescent="0.2">
      <c r="A46" s="744">
        <v>11</v>
      </c>
      <c r="B46" s="190" t="s">
        <v>312</v>
      </c>
      <c r="C46" s="191">
        <v>0.78</v>
      </c>
      <c r="D46" s="745" t="s">
        <v>1</v>
      </c>
      <c r="E46" s="746"/>
      <c r="F46" s="744"/>
      <c r="G46" s="190"/>
      <c r="H46" s="191"/>
      <c r="I46" s="750"/>
      <c r="J46" s="746"/>
    </row>
    <row r="47" spans="1:10" ht="14.25" thickBot="1" x14ac:dyDescent="0.2">
      <c r="A47" s="744"/>
      <c r="B47" s="190" t="s">
        <v>313</v>
      </c>
      <c r="C47" s="191">
        <v>0.92</v>
      </c>
      <c r="D47" s="745"/>
      <c r="E47" s="746"/>
      <c r="F47" s="744"/>
      <c r="G47" s="190"/>
      <c r="H47" s="191"/>
      <c r="I47" s="750"/>
      <c r="J47" s="746"/>
    </row>
    <row r="48" spans="1:10" ht="14.25" thickBot="1" x14ac:dyDescent="0.2">
      <c r="A48" s="749" t="s">
        <v>383</v>
      </c>
      <c r="B48" s="749"/>
      <c r="C48" s="229"/>
      <c r="D48" s="229"/>
      <c r="E48" s="229"/>
      <c r="F48" s="229"/>
      <c r="G48" s="229"/>
      <c r="H48" s="229"/>
      <c r="I48" s="229"/>
      <c r="J48" s="230"/>
    </row>
    <row r="49" spans="1:10" ht="14.25" thickBot="1" x14ac:dyDescent="0.2">
      <c r="A49" s="744">
        <v>1</v>
      </c>
      <c r="B49" s="190" t="s">
        <v>312</v>
      </c>
      <c r="C49" s="191">
        <v>0.69</v>
      </c>
      <c r="D49" s="745" t="s">
        <v>1</v>
      </c>
      <c r="E49" s="746"/>
      <c r="F49" s="744">
        <v>2</v>
      </c>
      <c r="G49" s="196" t="s">
        <v>312</v>
      </c>
      <c r="H49" s="191">
        <v>0.87</v>
      </c>
      <c r="I49" s="745" t="s">
        <v>1</v>
      </c>
      <c r="J49" s="746"/>
    </row>
    <row r="50" spans="1:10" ht="14.25" thickBot="1" x14ac:dyDescent="0.2">
      <c r="A50" s="744"/>
      <c r="B50" s="190" t="s">
        <v>313</v>
      </c>
      <c r="C50" s="191">
        <v>0.92</v>
      </c>
      <c r="D50" s="745"/>
      <c r="E50" s="746"/>
      <c r="F50" s="744"/>
      <c r="G50" s="196" t="s">
        <v>313</v>
      </c>
      <c r="H50" s="191">
        <v>0.98</v>
      </c>
      <c r="I50" s="745"/>
      <c r="J50" s="746"/>
    </row>
    <row r="51" spans="1:10" ht="14.25" thickBot="1" x14ac:dyDescent="0.2">
      <c r="A51" s="744">
        <v>3</v>
      </c>
      <c r="B51" s="190" t="s">
        <v>312</v>
      </c>
      <c r="C51" s="191">
        <v>1.31</v>
      </c>
      <c r="D51" s="745" t="s">
        <v>1</v>
      </c>
      <c r="E51" s="746"/>
      <c r="F51" s="744">
        <v>4</v>
      </c>
      <c r="G51" s="196" t="s">
        <v>312</v>
      </c>
      <c r="H51" s="191">
        <v>0.77</v>
      </c>
      <c r="I51" s="745" t="s">
        <v>1</v>
      </c>
      <c r="J51" s="746"/>
    </row>
    <row r="52" spans="1:10" ht="14.25" thickBot="1" x14ac:dyDescent="0.2">
      <c r="A52" s="744"/>
      <c r="B52" s="190" t="s">
        <v>313</v>
      </c>
      <c r="C52" s="191">
        <v>1.87</v>
      </c>
      <c r="D52" s="745"/>
      <c r="E52" s="746"/>
      <c r="F52" s="744"/>
      <c r="G52" s="196" t="s">
        <v>313</v>
      </c>
      <c r="H52" s="191">
        <v>0.84</v>
      </c>
      <c r="I52" s="745"/>
      <c r="J52" s="746"/>
    </row>
    <row r="53" spans="1:10" ht="14.25" thickBot="1" x14ac:dyDescent="0.2">
      <c r="A53" s="744">
        <v>5</v>
      </c>
      <c r="B53" s="190" t="s">
        <v>312</v>
      </c>
      <c r="C53" s="191">
        <v>0.89</v>
      </c>
      <c r="D53" s="745" t="s">
        <v>1</v>
      </c>
      <c r="E53" s="746"/>
      <c r="F53" s="744">
        <v>6</v>
      </c>
      <c r="G53" s="196" t="s">
        <v>312</v>
      </c>
      <c r="H53" s="191">
        <v>0.67</v>
      </c>
      <c r="I53" s="745" t="s">
        <v>1</v>
      </c>
      <c r="J53" s="746"/>
    </row>
    <row r="54" spans="1:10" ht="14.25" thickBot="1" x14ac:dyDescent="0.2">
      <c r="A54" s="744"/>
      <c r="B54" s="190" t="s">
        <v>313</v>
      </c>
      <c r="C54" s="191">
        <v>0.111</v>
      </c>
      <c r="D54" s="745"/>
      <c r="E54" s="746"/>
      <c r="F54" s="744"/>
      <c r="G54" s="196" t="s">
        <v>313</v>
      </c>
      <c r="H54" s="191">
        <v>0.83</v>
      </c>
      <c r="I54" s="745"/>
      <c r="J54" s="746"/>
    </row>
    <row r="55" spans="1:10" ht="14.25" thickBot="1" x14ac:dyDescent="0.2">
      <c r="A55" s="744">
        <v>7</v>
      </c>
      <c r="B55" s="190" t="s">
        <v>312</v>
      </c>
      <c r="C55" s="191">
        <v>0.85</v>
      </c>
      <c r="D55" s="745" t="s">
        <v>1</v>
      </c>
      <c r="E55" s="746"/>
      <c r="F55" s="744">
        <v>8</v>
      </c>
      <c r="G55" s="196" t="s">
        <v>312</v>
      </c>
      <c r="H55" s="191">
        <v>0.71</v>
      </c>
      <c r="I55" s="745" t="s">
        <v>1</v>
      </c>
      <c r="J55" s="746"/>
    </row>
    <row r="56" spans="1:10" ht="14.25" thickBot="1" x14ac:dyDescent="0.2">
      <c r="A56" s="744"/>
      <c r="B56" s="190" t="s">
        <v>313</v>
      </c>
      <c r="C56" s="191">
        <v>0.96</v>
      </c>
      <c r="D56" s="745"/>
      <c r="E56" s="746"/>
      <c r="F56" s="744"/>
      <c r="G56" s="196" t="s">
        <v>313</v>
      </c>
      <c r="H56" s="191">
        <v>0.84</v>
      </c>
      <c r="I56" s="745"/>
      <c r="J56" s="746"/>
    </row>
    <row r="57" spans="1:10" ht="14.25" thickBot="1" x14ac:dyDescent="0.2">
      <c r="A57" s="744">
        <v>9</v>
      </c>
      <c r="B57" s="190" t="s">
        <v>312</v>
      </c>
      <c r="C57" s="191">
        <v>0.65</v>
      </c>
      <c r="D57" s="745" t="s">
        <v>1</v>
      </c>
      <c r="E57" s="746"/>
      <c r="F57" s="744">
        <v>10</v>
      </c>
      <c r="G57" s="190" t="s">
        <v>312</v>
      </c>
      <c r="H57" s="191">
        <v>0.59</v>
      </c>
      <c r="I57" s="745" t="s">
        <v>1</v>
      </c>
      <c r="J57" s="746"/>
    </row>
    <row r="58" spans="1:10" ht="14.25" thickBot="1" x14ac:dyDescent="0.2">
      <c r="A58" s="744"/>
      <c r="B58" s="190" t="s">
        <v>313</v>
      </c>
      <c r="C58" s="191">
        <v>0.78</v>
      </c>
      <c r="D58" s="745"/>
      <c r="E58" s="746"/>
      <c r="F58" s="744"/>
      <c r="G58" s="190" t="s">
        <v>313</v>
      </c>
      <c r="H58" s="191">
        <v>0.72</v>
      </c>
      <c r="I58" s="745"/>
      <c r="J58" s="746"/>
    </row>
  </sheetData>
  <mergeCells count="143">
    <mergeCell ref="A57:A58"/>
    <mergeCell ref="D57:D58"/>
    <mergeCell ref="E57:E58"/>
    <mergeCell ref="F57:F58"/>
    <mergeCell ref="I57:I58"/>
    <mergeCell ref="J57:J58"/>
    <mergeCell ref="A55:A56"/>
    <mergeCell ref="D55:D56"/>
    <mergeCell ref="E55:E56"/>
    <mergeCell ref="F55:F56"/>
    <mergeCell ref="I55:I56"/>
    <mergeCell ref="J55:J56"/>
    <mergeCell ref="A53:A54"/>
    <mergeCell ref="D53:D54"/>
    <mergeCell ref="E53:E54"/>
    <mergeCell ref="F53:F54"/>
    <mergeCell ref="I53:I54"/>
    <mergeCell ref="J53:J54"/>
    <mergeCell ref="J49:J50"/>
    <mergeCell ref="A51:A52"/>
    <mergeCell ref="D51:D52"/>
    <mergeCell ref="E51:E52"/>
    <mergeCell ref="F51:F52"/>
    <mergeCell ref="I51:I52"/>
    <mergeCell ref="J51:J52"/>
    <mergeCell ref="A48:B48"/>
    <mergeCell ref="A49:A50"/>
    <mergeCell ref="D49:D50"/>
    <mergeCell ref="E49:E50"/>
    <mergeCell ref="F49:F50"/>
    <mergeCell ref="I49:I50"/>
    <mergeCell ref="A46:A47"/>
    <mergeCell ref="D46:D47"/>
    <mergeCell ref="E46:E47"/>
    <mergeCell ref="F46:F47"/>
    <mergeCell ref="I46:I47"/>
    <mergeCell ref="J46:J47"/>
    <mergeCell ref="A44:A45"/>
    <mergeCell ref="D44:D45"/>
    <mergeCell ref="E44:E45"/>
    <mergeCell ref="F44:F45"/>
    <mergeCell ref="I44:I45"/>
    <mergeCell ref="J44:J45"/>
    <mergeCell ref="A42:A43"/>
    <mergeCell ref="D42:D43"/>
    <mergeCell ref="E42:E43"/>
    <mergeCell ref="F42:F43"/>
    <mergeCell ref="I42:I43"/>
    <mergeCell ref="J42:J43"/>
    <mergeCell ref="A40:A41"/>
    <mergeCell ref="D40:D41"/>
    <mergeCell ref="E40:E41"/>
    <mergeCell ref="F40:F41"/>
    <mergeCell ref="I40:I41"/>
    <mergeCell ref="J40:J41"/>
    <mergeCell ref="J36:J37"/>
    <mergeCell ref="A38:A39"/>
    <mergeCell ref="D38:D39"/>
    <mergeCell ref="E38:E39"/>
    <mergeCell ref="F38:F39"/>
    <mergeCell ref="I38:I39"/>
    <mergeCell ref="J38:J39"/>
    <mergeCell ref="A34:B34"/>
    <mergeCell ref="A36:A37"/>
    <mergeCell ref="D36:D37"/>
    <mergeCell ref="E36:E37"/>
    <mergeCell ref="F36:F37"/>
    <mergeCell ref="I36:I37"/>
    <mergeCell ref="A32:A33"/>
    <mergeCell ref="D32:D33"/>
    <mergeCell ref="E32:E33"/>
    <mergeCell ref="F32:F33"/>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A26:A27"/>
    <mergeCell ref="D26:D27"/>
    <mergeCell ref="E26:E27"/>
    <mergeCell ref="F26:F27"/>
    <mergeCell ref="I26:I27"/>
    <mergeCell ref="J26:J27"/>
    <mergeCell ref="J22:J23"/>
    <mergeCell ref="A24:A25"/>
    <mergeCell ref="D24:D25"/>
    <mergeCell ref="E24:E25"/>
    <mergeCell ref="F24:F25"/>
    <mergeCell ref="I24:I25"/>
    <mergeCell ref="J24:J25"/>
    <mergeCell ref="A21:B21"/>
    <mergeCell ref="A22:A23"/>
    <mergeCell ref="D22:D23"/>
    <mergeCell ref="E22:E23"/>
    <mergeCell ref="F22:F23"/>
    <mergeCell ref="I22:I23"/>
    <mergeCell ref="A19:A20"/>
    <mergeCell ref="D19:D20"/>
    <mergeCell ref="E19:E20"/>
    <mergeCell ref="F19:F20"/>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3:A14"/>
    <mergeCell ref="D13:D14"/>
    <mergeCell ref="E13:E14"/>
    <mergeCell ref="F13:F14"/>
    <mergeCell ref="I13:I14"/>
    <mergeCell ref="J13:J14"/>
    <mergeCell ref="J9:J10"/>
    <mergeCell ref="A11:A12"/>
    <mergeCell ref="D11:D12"/>
    <mergeCell ref="E11:E12"/>
    <mergeCell ref="F11:F12"/>
    <mergeCell ref="I11:I12"/>
    <mergeCell ref="J11:J12"/>
    <mergeCell ref="B3:I4"/>
    <mergeCell ref="A7:B7"/>
    <mergeCell ref="A9:A10"/>
    <mergeCell ref="D9:D10"/>
    <mergeCell ref="E9:E10"/>
    <mergeCell ref="F9:F10"/>
    <mergeCell ref="I9:I10"/>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60D93-D85F-4401-A42F-3A01A1A9C3AB}">
  <dimension ref="A3:J47"/>
  <sheetViews>
    <sheetView tabSelected="1" view="pageBreakPreview" topLeftCell="A36" zoomScale="160" zoomScaleNormal="100" zoomScaleSheetLayoutView="160"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384</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0.34</v>
      </c>
      <c r="D9" s="753" t="s">
        <v>358</v>
      </c>
      <c r="E9" s="746"/>
      <c r="F9" s="744">
        <v>2</v>
      </c>
      <c r="G9" s="190" t="s">
        <v>312</v>
      </c>
      <c r="H9" s="191">
        <v>0.49</v>
      </c>
      <c r="I9" s="745" t="s">
        <v>339</v>
      </c>
      <c r="J9" s="746"/>
    </row>
    <row r="10" spans="1:10" ht="14.25" thickBot="1" x14ac:dyDescent="0.2">
      <c r="A10" s="744"/>
      <c r="B10" s="190" t="s">
        <v>313</v>
      </c>
      <c r="C10" s="191">
        <v>0.4</v>
      </c>
      <c r="D10" s="753"/>
      <c r="E10" s="746"/>
      <c r="F10" s="744"/>
      <c r="G10" s="190" t="s">
        <v>313</v>
      </c>
      <c r="H10" s="191">
        <v>0.56999999999999995</v>
      </c>
      <c r="I10" s="745"/>
      <c r="J10" s="746"/>
    </row>
    <row r="11" spans="1:10" ht="14.25" thickBot="1" x14ac:dyDescent="0.2">
      <c r="A11" s="744">
        <v>3</v>
      </c>
      <c r="B11" s="190" t="s">
        <v>312</v>
      </c>
      <c r="C11" s="191">
        <v>0.46</v>
      </c>
      <c r="D11" s="745" t="s">
        <v>1</v>
      </c>
      <c r="E11" s="746"/>
      <c r="F11" s="744">
        <v>4</v>
      </c>
      <c r="G11" s="190" t="s">
        <v>312</v>
      </c>
      <c r="H11" s="191">
        <v>0.42</v>
      </c>
      <c r="I11" s="745" t="s">
        <v>1</v>
      </c>
      <c r="J11" s="746"/>
    </row>
    <row r="12" spans="1:10" ht="14.25" thickBot="1" x14ac:dyDescent="0.2">
      <c r="A12" s="744"/>
      <c r="B12" s="190" t="s">
        <v>313</v>
      </c>
      <c r="C12" s="191">
        <v>0.56000000000000005</v>
      </c>
      <c r="D12" s="745"/>
      <c r="E12" s="746"/>
      <c r="F12" s="744"/>
      <c r="G12" s="190" t="s">
        <v>313</v>
      </c>
      <c r="H12" s="191">
        <v>0.53</v>
      </c>
      <c r="I12" s="745"/>
      <c r="J12" s="746"/>
    </row>
    <row r="13" spans="1:10" ht="14.25" thickBot="1" x14ac:dyDescent="0.2">
      <c r="A13" s="744">
        <v>5</v>
      </c>
      <c r="B13" s="190" t="s">
        <v>312</v>
      </c>
      <c r="C13" s="191">
        <v>0.42</v>
      </c>
      <c r="D13" s="745" t="s">
        <v>1</v>
      </c>
      <c r="E13" s="746"/>
      <c r="F13" s="744">
        <v>6</v>
      </c>
      <c r="G13" s="190" t="s">
        <v>312</v>
      </c>
      <c r="H13" s="191">
        <v>0.44</v>
      </c>
      <c r="I13" s="745" t="s">
        <v>1</v>
      </c>
      <c r="J13" s="746"/>
    </row>
    <row r="14" spans="1:10" ht="14.25" thickBot="1" x14ac:dyDescent="0.2">
      <c r="A14" s="744"/>
      <c r="B14" s="190" t="s">
        <v>313</v>
      </c>
      <c r="C14" s="191">
        <v>0.57999999999999996</v>
      </c>
      <c r="D14" s="745"/>
      <c r="E14" s="746"/>
      <c r="F14" s="744"/>
      <c r="G14" s="190" t="s">
        <v>313</v>
      </c>
      <c r="H14" s="191">
        <v>0.57999999999999996</v>
      </c>
      <c r="I14" s="745"/>
      <c r="J14" s="746"/>
    </row>
    <row r="15" spans="1:10" ht="14.25" thickBot="1" x14ac:dyDescent="0.2">
      <c r="A15" s="744">
        <v>7</v>
      </c>
      <c r="B15" s="190" t="s">
        <v>312</v>
      </c>
      <c r="C15" s="191">
        <v>0.57999999999999996</v>
      </c>
      <c r="D15" s="745" t="s">
        <v>1</v>
      </c>
      <c r="E15" s="746"/>
      <c r="F15" s="744">
        <v>8</v>
      </c>
      <c r="G15" s="190" t="s">
        <v>312</v>
      </c>
      <c r="H15" s="191">
        <v>0.47</v>
      </c>
      <c r="I15" s="745" t="s">
        <v>1</v>
      </c>
      <c r="J15" s="751"/>
    </row>
    <row r="16" spans="1:10" ht="14.25" thickBot="1" x14ac:dyDescent="0.2">
      <c r="A16" s="744"/>
      <c r="B16" s="190" t="s">
        <v>313</v>
      </c>
      <c r="C16" s="191">
        <v>0.62</v>
      </c>
      <c r="D16" s="745"/>
      <c r="E16" s="746"/>
      <c r="F16" s="744"/>
      <c r="G16" s="190" t="s">
        <v>313</v>
      </c>
      <c r="H16" s="191">
        <v>0.59</v>
      </c>
      <c r="I16" s="745"/>
      <c r="J16" s="752"/>
    </row>
    <row r="17" spans="1:10" ht="14.25" thickBot="1" x14ac:dyDescent="0.2">
      <c r="A17" s="744">
        <v>9</v>
      </c>
      <c r="B17" s="190" t="s">
        <v>312</v>
      </c>
      <c r="C17" s="191">
        <v>0.66</v>
      </c>
      <c r="D17" s="745" t="s">
        <v>1</v>
      </c>
      <c r="E17" s="751"/>
      <c r="F17" s="744">
        <v>10</v>
      </c>
      <c r="G17" s="190" t="s">
        <v>312</v>
      </c>
      <c r="H17" s="191">
        <v>0.44</v>
      </c>
      <c r="I17" s="745" t="s">
        <v>1</v>
      </c>
      <c r="J17" s="751"/>
    </row>
    <row r="18" spans="1:10" ht="14.25" thickBot="1" x14ac:dyDescent="0.2">
      <c r="A18" s="744"/>
      <c r="B18" s="190" t="s">
        <v>313</v>
      </c>
      <c r="C18" s="191">
        <v>0.81</v>
      </c>
      <c r="D18" s="745"/>
      <c r="E18" s="752"/>
      <c r="F18" s="744"/>
      <c r="G18" s="190" t="s">
        <v>313</v>
      </c>
      <c r="H18" s="191">
        <v>0.56000000000000005</v>
      </c>
      <c r="I18" s="745"/>
      <c r="J18" s="752"/>
    </row>
    <row r="19" spans="1:10" ht="14.25" thickBot="1" x14ac:dyDescent="0.2">
      <c r="A19" s="744">
        <v>11</v>
      </c>
      <c r="B19" s="190" t="s">
        <v>312</v>
      </c>
      <c r="C19" s="191">
        <v>0.45</v>
      </c>
      <c r="D19" s="745" t="s">
        <v>1</v>
      </c>
      <c r="E19" s="746"/>
      <c r="F19" s="744">
        <v>12</v>
      </c>
      <c r="G19" s="190" t="s">
        <v>312</v>
      </c>
      <c r="H19" s="191">
        <v>0.57999999999999996</v>
      </c>
      <c r="I19" s="750"/>
      <c r="J19" s="746"/>
    </row>
    <row r="20" spans="1:10" ht="14.25" thickBot="1" x14ac:dyDescent="0.2">
      <c r="A20" s="744"/>
      <c r="B20" s="190" t="s">
        <v>313</v>
      </c>
      <c r="C20" s="191">
        <v>0.68</v>
      </c>
      <c r="D20" s="745"/>
      <c r="E20" s="746"/>
      <c r="F20" s="744"/>
      <c r="G20" s="190" t="s">
        <v>313</v>
      </c>
      <c r="H20" s="191">
        <v>0.56000000000000005</v>
      </c>
      <c r="I20" s="750"/>
      <c r="J20" s="746"/>
    </row>
    <row r="21" spans="1:10" ht="13.5" customHeight="1" thickBot="1" x14ac:dyDescent="0.2">
      <c r="A21" s="749" t="s">
        <v>385</v>
      </c>
      <c r="B21" s="749"/>
      <c r="C21" s="229"/>
      <c r="D21" s="229"/>
      <c r="E21" s="229"/>
      <c r="F21" s="229"/>
      <c r="G21" s="229"/>
      <c r="H21" s="229"/>
      <c r="I21" s="229"/>
      <c r="J21" s="230"/>
    </row>
    <row r="22" spans="1:10" ht="14.25" thickBot="1" x14ac:dyDescent="0.2">
      <c r="A22" s="744">
        <v>1</v>
      </c>
      <c r="B22" s="190" t="s">
        <v>312</v>
      </c>
      <c r="C22" s="191">
        <v>0.43</v>
      </c>
      <c r="D22" s="745" t="s">
        <v>1</v>
      </c>
      <c r="E22" s="746"/>
      <c r="F22" s="744">
        <v>2</v>
      </c>
      <c r="G22" s="196" t="s">
        <v>312</v>
      </c>
      <c r="H22" s="191">
        <v>0.19</v>
      </c>
      <c r="I22" s="745" t="s">
        <v>1</v>
      </c>
      <c r="J22" s="746"/>
    </row>
    <row r="23" spans="1:10" ht="14.25" thickBot="1" x14ac:dyDescent="0.2">
      <c r="A23" s="744"/>
      <c r="B23" s="190" t="s">
        <v>313</v>
      </c>
      <c r="C23" s="191">
        <v>0.52</v>
      </c>
      <c r="D23" s="745"/>
      <c r="E23" s="746"/>
      <c r="F23" s="744"/>
      <c r="G23" s="196" t="s">
        <v>313</v>
      </c>
      <c r="H23" s="191">
        <v>0.32</v>
      </c>
      <c r="I23" s="745"/>
      <c r="J23" s="746"/>
    </row>
    <row r="24" spans="1:10" ht="12.95" customHeight="1" thickBot="1" x14ac:dyDescent="0.2">
      <c r="A24" s="744">
        <v>3</v>
      </c>
      <c r="B24" s="190" t="s">
        <v>312</v>
      </c>
      <c r="C24" s="191">
        <v>0.63</v>
      </c>
      <c r="D24" s="745" t="s">
        <v>1</v>
      </c>
      <c r="E24" s="746"/>
      <c r="F24" s="744">
        <v>4</v>
      </c>
      <c r="G24" s="196" t="s">
        <v>312</v>
      </c>
      <c r="H24" s="191">
        <v>0.28000000000000003</v>
      </c>
      <c r="I24" s="745" t="s">
        <v>1</v>
      </c>
      <c r="J24" s="746"/>
    </row>
    <row r="25" spans="1:10" ht="14.25" thickBot="1" x14ac:dyDescent="0.2">
      <c r="A25" s="744"/>
      <c r="B25" s="190" t="s">
        <v>313</v>
      </c>
      <c r="C25" s="191">
        <v>0.71</v>
      </c>
      <c r="D25" s="745"/>
      <c r="E25" s="746"/>
      <c r="F25" s="744"/>
      <c r="G25" s="196" t="s">
        <v>313</v>
      </c>
      <c r="H25" s="191">
        <v>0.38</v>
      </c>
      <c r="I25" s="745"/>
      <c r="J25" s="746"/>
    </row>
    <row r="26" spans="1:10" ht="14.25" thickBot="1" x14ac:dyDescent="0.2">
      <c r="A26" s="744">
        <v>5</v>
      </c>
      <c r="B26" s="190" t="s">
        <v>312</v>
      </c>
      <c r="C26" s="191">
        <v>0.92</v>
      </c>
      <c r="D26" s="745" t="s">
        <v>1</v>
      </c>
      <c r="E26" s="746"/>
      <c r="F26" s="744">
        <v>6</v>
      </c>
      <c r="G26" s="196" t="s">
        <v>312</v>
      </c>
      <c r="H26" s="191">
        <v>0.24</v>
      </c>
      <c r="I26" s="745" t="s">
        <v>1</v>
      </c>
      <c r="J26" s="746"/>
    </row>
    <row r="27" spans="1:10" ht="14.25" thickBot="1" x14ac:dyDescent="0.2">
      <c r="A27" s="744"/>
      <c r="B27" s="190" t="s">
        <v>313</v>
      </c>
      <c r="C27" s="191">
        <v>1.18</v>
      </c>
      <c r="D27" s="745"/>
      <c r="E27" s="746"/>
      <c r="F27" s="744"/>
      <c r="G27" s="196" t="s">
        <v>313</v>
      </c>
      <c r="H27" s="191">
        <v>0.31</v>
      </c>
      <c r="I27" s="745"/>
      <c r="J27" s="746"/>
    </row>
    <row r="28" spans="1:10" ht="14.25" thickBot="1" x14ac:dyDescent="0.2">
      <c r="A28" s="744">
        <v>7</v>
      </c>
      <c r="B28" s="190" t="s">
        <v>312</v>
      </c>
      <c r="C28" s="191">
        <v>0.55000000000000004</v>
      </c>
      <c r="D28" s="745" t="s">
        <v>1</v>
      </c>
      <c r="E28" s="746"/>
      <c r="F28" s="744">
        <v>8</v>
      </c>
      <c r="G28" s="196" t="s">
        <v>312</v>
      </c>
      <c r="H28" s="191">
        <v>0.25</v>
      </c>
      <c r="I28" s="745" t="s">
        <v>1</v>
      </c>
      <c r="J28" s="746"/>
    </row>
    <row r="29" spans="1:10" ht="14.25" thickBot="1" x14ac:dyDescent="0.2">
      <c r="A29" s="744"/>
      <c r="B29" s="190" t="s">
        <v>313</v>
      </c>
      <c r="C29" s="191">
        <v>0.62</v>
      </c>
      <c r="D29" s="745"/>
      <c r="E29" s="746"/>
      <c r="F29" s="744"/>
      <c r="G29" s="196" t="s">
        <v>313</v>
      </c>
      <c r="H29" s="191">
        <v>0.31</v>
      </c>
      <c r="I29" s="745"/>
      <c r="J29" s="746"/>
    </row>
    <row r="30" spans="1:10" ht="14.25" thickBot="1" x14ac:dyDescent="0.2">
      <c r="A30" s="744">
        <v>9</v>
      </c>
      <c r="B30" s="190" t="s">
        <v>312</v>
      </c>
      <c r="C30" s="191">
        <v>0.49</v>
      </c>
      <c r="D30" s="745" t="s">
        <v>1</v>
      </c>
      <c r="E30" s="746"/>
      <c r="F30" s="744">
        <v>10</v>
      </c>
      <c r="G30" s="190" t="s">
        <v>312</v>
      </c>
      <c r="H30" s="191">
        <v>0.22</v>
      </c>
      <c r="I30" s="745" t="s">
        <v>1</v>
      </c>
      <c r="J30" s="746"/>
    </row>
    <row r="31" spans="1:10" ht="14.25" thickBot="1" x14ac:dyDescent="0.2">
      <c r="A31" s="744"/>
      <c r="B31" s="190" t="s">
        <v>313</v>
      </c>
      <c r="C31" s="191">
        <v>0.56999999999999995</v>
      </c>
      <c r="D31" s="745"/>
      <c r="E31" s="746"/>
      <c r="F31" s="744"/>
      <c r="G31" s="190" t="s">
        <v>313</v>
      </c>
      <c r="H31" s="191">
        <v>0.27</v>
      </c>
      <c r="I31" s="745"/>
      <c r="J31" s="746"/>
    </row>
    <row r="32" spans="1:10" ht="14.25" thickBot="1" x14ac:dyDescent="0.2">
      <c r="A32" s="744">
        <v>11</v>
      </c>
      <c r="B32" s="190" t="s">
        <v>312</v>
      </c>
      <c r="C32" s="191">
        <v>0.18</v>
      </c>
      <c r="D32" s="745" t="s">
        <v>1</v>
      </c>
      <c r="E32" s="746"/>
      <c r="F32" s="744">
        <v>12</v>
      </c>
      <c r="G32" s="192"/>
      <c r="H32" s="193"/>
      <c r="I32" s="750"/>
      <c r="J32" s="746"/>
    </row>
    <row r="33" spans="1:10" ht="14.25" thickBot="1" x14ac:dyDescent="0.2">
      <c r="A33" s="744"/>
      <c r="B33" s="190" t="s">
        <v>313</v>
      </c>
      <c r="C33" s="191">
        <v>0.22</v>
      </c>
      <c r="D33" s="745"/>
      <c r="E33" s="746"/>
      <c r="F33" s="744"/>
      <c r="G33" s="194"/>
      <c r="H33" s="195"/>
      <c r="I33" s="750"/>
      <c r="J33" s="746"/>
    </row>
    <row r="34" spans="1:10" ht="14.25" thickBot="1" x14ac:dyDescent="0.2">
      <c r="A34" s="749" t="s">
        <v>386</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0.36</v>
      </c>
      <c r="D36" s="753" t="s">
        <v>358</v>
      </c>
      <c r="E36" s="746"/>
      <c r="F36" s="744">
        <v>2</v>
      </c>
      <c r="G36" s="190" t="s">
        <v>312</v>
      </c>
      <c r="H36" s="191">
        <v>0.56999999999999995</v>
      </c>
      <c r="I36" s="745" t="s">
        <v>339</v>
      </c>
      <c r="J36" s="746"/>
    </row>
    <row r="37" spans="1:10" ht="14.25" thickBot="1" x14ac:dyDescent="0.2">
      <c r="A37" s="744"/>
      <c r="B37" s="190" t="s">
        <v>313</v>
      </c>
      <c r="C37" s="191">
        <v>0.48</v>
      </c>
      <c r="D37" s="753"/>
      <c r="E37" s="746"/>
      <c r="F37" s="744"/>
      <c r="G37" s="190" t="s">
        <v>313</v>
      </c>
      <c r="H37" s="191">
        <v>0.59</v>
      </c>
      <c r="I37" s="745"/>
      <c r="J37" s="746"/>
    </row>
    <row r="38" spans="1:10" ht="13.5" customHeight="1" thickBot="1" x14ac:dyDescent="0.2">
      <c r="A38" s="744">
        <v>3</v>
      </c>
      <c r="B38" s="190" t="s">
        <v>312</v>
      </c>
      <c r="C38" s="191">
        <v>0.62</v>
      </c>
      <c r="D38" s="745" t="s">
        <v>1</v>
      </c>
      <c r="E38" s="746"/>
      <c r="F38" s="744">
        <v>4</v>
      </c>
      <c r="G38" s="190" t="s">
        <v>312</v>
      </c>
      <c r="H38" s="191">
        <v>0.49</v>
      </c>
      <c r="I38" s="745" t="s">
        <v>1</v>
      </c>
      <c r="J38" s="746"/>
    </row>
    <row r="39" spans="1:10" ht="13.5" customHeight="1" thickBot="1" x14ac:dyDescent="0.2">
      <c r="A39" s="744"/>
      <c r="B39" s="190" t="s">
        <v>313</v>
      </c>
      <c r="C39" s="191">
        <v>0.74</v>
      </c>
      <c r="D39" s="745"/>
      <c r="E39" s="746"/>
      <c r="F39" s="744"/>
      <c r="G39" s="190" t="s">
        <v>313</v>
      </c>
      <c r="H39" s="191">
        <v>0.48</v>
      </c>
      <c r="I39" s="745"/>
      <c r="J39" s="746"/>
    </row>
    <row r="40" spans="1:10" ht="14.25" thickBot="1" x14ac:dyDescent="0.2">
      <c r="A40" s="744">
        <v>5</v>
      </c>
      <c r="B40" s="190" t="s">
        <v>312</v>
      </c>
      <c r="C40" s="191">
        <v>0.41</v>
      </c>
      <c r="D40" s="745" t="s">
        <v>1</v>
      </c>
      <c r="E40" s="746"/>
      <c r="F40" s="744">
        <v>6</v>
      </c>
      <c r="G40" s="190" t="s">
        <v>312</v>
      </c>
      <c r="H40" s="191">
        <v>0.48</v>
      </c>
      <c r="I40" s="745" t="s">
        <v>1</v>
      </c>
      <c r="J40" s="746"/>
    </row>
    <row r="41" spans="1:10" ht="14.25" thickBot="1" x14ac:dyDescent="0.2">
      <c r="A41" s="744"/>
      <c r="B41" s="190" t="s">
        <v>313</v>
      </c>
      <c r="C41" s="191">
        <v>0.52</v>
      </c>
      <c r="D41" s="745"/>
      <c r="E41" s="746"/>
      <c r="F41" s="744"/>
      <c r="G41" s="190" t="s">
        <v>313</v>
      </c>
      <c r="H41" s="191">
        <v>0.66</v>
      </c>
      <c r="I41" s="745"/>
      <c r="J41" s="746"/>
    </row>
    <row r="42" spans="1:10" ht="14.25" thickBot="1" x14ac:dyDescent="0.2">
      <c r="A42" s="744">
        <v>7</v>
      </c>
      <c r="B42" s="190" t="s">
        <v>312</v>
      </c>
      <c r="C42" s="191">
        <v>0.46</v>
      </c>
      <c r="D42" s="745" t="s">
        <v>1</v>
      </c>
      <c r="E42" s="746"/>
      <c r="F42" s="744">
        <v>8</v>
      </c>
      <c r="G42" s="190" t="s">
        <v>312</v>
      </c>
      <c r="H42" s="191">
        <v>0.48</v>
      </c>
      <c r="I42" s="745" t="s">
        <v>1</v>
      </c>
      <c r="J42" s="751"/>
    </row>
    <row r="43" spans="1:10" ht="14.25" thickBot="1" x14ac:dyDescent="0.2">
      <c r="A43" s="744"/>
      <c r="B43" s="190" t="s">
        <v>313</v>
      </c>
      <c r="C43" s="191">
        <v>0.56999999999999995</v>
      </c>
      <c r="D43" s="745"/>
      <c r="E43" s="746"/>
      <c r="F43" s="744"/>
      <c r="G43" s="190" t="s">
        <v>313</v>
      </c>
      <c r="H43" s="191">
        <v>0.59</v>
      </c>
      <c r="I43" s="745"/>
      <c r="J43" s="752"/>
    </row>
    <row r="44" spans="1:10" ht="14.25" thickBot="1" x14ac:dyDescent="0.2">
      <c r="A44" s="744">
        <v>9</v>
      </c>
      <c r="B44" s="190" t="s">
        <v>312</v>
      </c>
      <c r="C44" s="191">
        <v>0.51</v>
      </c>
      <c r="D44" s="745" t="s">
        <v>1</v>
      </c>
      <c r="E44" s="751"/>
      <c r="F44" s="744">
        <v>10</v>
      </c>
      <c r="G44" s="190" t="s">
        <v>312</v>
      </c>
      <c r="H44" s="191">
        <v>0.45</v>
      </c>
      <c r="I44" s="745" t="s">
        <v>1</v>
      </c>
      <c r="J44" s="751"/>
    </row>
    <row r="45" spans="1:10" ht="14.25" thickBot="1" x14ac:dyDescent="0.2">
      <c r="A45" s="744"/>
      <c r="B45" s="190" t="s">
        <v>313</v>
      </c>
      <c r="C45" s="191">
        <v>0.57999999999999996</v>
      </c>
      <c r="D45" s="745"/>
      <c r="E45" s="752"/>
      <c r="F45" s="744"/>
      <c r="G45" s="190" t="s">
        <v>313</v>
      </c>
      <c r="H45" s="191">
        <v>0.65</v>
      </c>
      <c r="I45" s="745"/>
      <c r="J45" s="752"/>
    </row>
    <row r="46" spans="1:10" ht="14.25" thickBot="1" x14ac:dyDescent="0.2">
      <c r="A46" s="744">
        <v>11</v>
      </c>
      <c r="B46" s="190" t="s">
        <v>312</v>
      </c>
      <c r="C46" s="191">
        <v>0.62</v>
      </c>
      <c r="D46" s="745" t="s">
        <v>1</v>
      </c>
      <c r="E46" s="746"/>
      <c r="F46" s="744">
        <v>12</v>
      </c>
      <c r="G46" s="190" t="s">
        <v>312</v>
      </c>
      <c r="H46" s="191">
        <v>0.52</v>
      </c>
      <c r="I46" s="750"/>
      <c r="J46" s="746"/>
    </row>
    <row r="47" spans="1:10" ht="14.25" thickBot="1" x14ac:dyDescent="0.2">
      <c r="A47" s="744"/>
      <c r="B47" s="190" t="s">
        <v>313</v>
      </c>
      <c r="C47" s="191">
        <v>0.74</v>
      </c>
      <c r="D47" s="745"/>
      <c r="E47" s="746"/>
      <c r="F47" s="744"/>
      <c r="G47" s="190" t="s">
        <v>313</v>
      </c>
      <c r="H47" s="191">
        <v>0.69</v>
      </c>
      <c r="I47" s="750"/>
      <c r="J47" s="746"/>
    </row>
  </sheetData>
  <mergeCells count="112">
    <mergeCell ref="A46:A47"/>
    <mergeCell ref="D46:D47"/>
    <mergeCell ref="E46:E47"/>
    <mergeCell ref="F46:F47"/>
    <mergeCell ref="I46:I47"/>
    <mergeCell ref="J46:J47"/>
    <mergeCell ref="A44:A45"/>
    <mergeCell ref="D44:D45"/>
    <mergeCell ref="E44:E45"/>
    <mergeCell ref="F44:F45"/>
    <mergeCell ref="I44:I45"/>
    <mergeCell ref="J44:J45"/>
    <mergeCell ref="A42:A43"/>
    <mergeCell ref="D42:D43"/>
    <mergeCell ref="E42:E43"/>
    <mergeCell ref="F42:F43"/>
    <mergeCell ref="I42:I43"/>
    <mergeCell ref="J42:J43"/>
    <mergeCell ref="A40:A41"/>
    <mergeCell ref="D40:D41"/>
    <mergeCell ref="E40:E41"/>
    <mergeCell ref="F40:F41"/>
    <mergeCell ref="I40:I41"/>
    <mergeCell ref="J40:J41"/>
    <mergeCell ref="J36:J37"/>
    <mergeCell ref="A38:A39"/>
    <mergeCell ref="D38:D39"/>
    <mergeCell ref="E38:E39"/>
    <mergeCell ref="F38:F39"/>
    <mergeCell ref="I38:I39"/>
    <mergeCell ref="J38:J39"/>
    <mergeCell ref="A34:B34"/>
    <mergeCell ref="A36:A37"/>
    <mergeCell ref="D36:D37"/>
    <mergeCell ref="E36:E37"/>
    <mergeCell ref="F36:F37"/>
    <mergeCell ref="I36:I37"/>
    <mergeCell ref="A32:A33"/>
    <mergeCell ref="D32:D33"/>
    <mergeCell ref="E32:E33"/>
    <mergeCell ref="F32:F33"/>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A26:A27"/>
    <mergeCell ref="D26:D27"/>
    <mergeCell ref="E26:E27"/>
    <mergeCell ref="F26:F27"/>
    <mergeCell ref="I26:I27"/>
    <mergeCell ref="J26:J27"/>
    <mergeCell ref="J22:J23"/>
    <mergeCell ref="A24:A25"/>
    <mergeCell ref="D24:D25"/>
    <mergeCell ref="E24:E25"/>
    <mergeCell ref="F24:F25"/>
    <mergeCell ref="I24:I25"/>
    <mergeCell ref="J24:J25"/>
    <mergeCell ref="A21:B21"/>
    <mergeCell ref="A22:A23"/>
    <mergeCell ref="D22:D23"/>
    <mergeCell ref="E22:E23"/>
    <mergeCell ref="F22:F23"/>
    <mergeCell ref="I22:I23"/>
    <mergeCell ref="A19:A20"/>
    <mergeCell ref="D19:D20"/>
    <mergeCell ref="E19:E20"/>
    <mergeCell ref="F19:F20"/>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3:A14"/>
    <mergeCell ref="D13:D14"/>
    <mergeCell ref="E13:E14"/>
    <mergeCell ref="F13:F14"/>
    <mergeCell ref="I13:I14"/>
    <mergeCell ref="J13:J14"/>
    <mergeCell ref="J9:J10"/>
    <mergeCell ref="A11:A12"/>
    <mergeCell ref="D11:D12"/>
    <mergeCell ref="E11:E12"/>
    <mergeCell ref="F11:F12"/>
    <mergeCell ref="I11:I12"/>
    <mergeCell ref="J11:J12"/>
    <mergeCell ref="B3:I4"/>
    <mergeCell ref="A7:B7"/>
    <mergeCell ref="A9:A10"/>
    <mergeCell ref="D9:D10"/>
    <mergeCell ref="E9:E10"/>
    <mergeCell ref="F9:F10"/>
    <mergeCell ref="I9:I10"/>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4E1C2-2CF5-4AB1-8505-B1C7BDC28100}">
  <dimension ref="A3:J47"/>
  <sheetViews>
    <sheetView tabSelected="1" view="pageBreakPreview" topLeftCell="A29" zoomScale="130" zoomScaleNormal="100" zoomScaleSheetLayoutView="130" workbookViewId="0">
      <selection activeCell="B33" sqref="B33:G33"/>
    </sheetView>
  </sheetViews>
  <sheetFormatPr defaultColWidth="9" defaultRowHeight="13.5" x14ac:dyDescent="0.15"/>
  <cols>
    <col min="1" max="1" width="9" style="227"/>
    <col min="2" max="5" width="9" style="186"/>
    <col min="6" max="6" width="9" style="227"/>
    <col min="7" max="16384" width="9" style="186"/>
  </cols>
  <sheetData>
    <row r="3" spans="1:10" x14ac:dyDescent="0.15">
      <c r="B3" s="743" t="s">
        <v>340</v>
      </c>
      <c r="C3" s="743"/>
      <c r="D3" s="743"/>
      <c r="E3" s="743"/>
      <c r="F3" s="743"/>
      <c r="G3" s="743"/>
      <c r="H3" s="743"/>
      <c r="I3" s="743"/>
    </row>
    <row r="4" spans="1:10" x14ac:dyDescent="0.15">
      <c r="B4" s="743"/>
      <c r="C4" s="743"/>
      <c r="D4" s="743"/>
      <c r="E4" s="743"/>
      <c r="F4" s="743"/>
      <c r="G4" s="743"/>
      <c r="H4" s="743"/>
      <c r="I4" s="743"/>
    </row>
    <row r="5" spans="1:10" ht="18.75" customHeight="1" x14ac:dyDescent="0.25">
      <c r="B5" s="187"/>
      <c r="C5" s="187"/>
      <c r="D5" s="187"/>
      <c r="E5" s="187"/>
      <c r="F5" s="226"/>
      <c r="G5" s="187"/>
      <c r="H5" s="187"/>
      <c r="I5" s="187"/>
    </row>
    <row r="6" spans="1:10" x14ac:dyDescent="0.15">
      <c r="E6" s="186" t="s">
        <v>345</v>
      </c>
    </row>
    <row r="7" spans="1:10" ht="14.25" thickBot="1" x14ac:dyDescent="0.2">
      <c r="A7" s="749" t="s">
        <v>387</v>
      </c>
      <c r="B7" s="749"/>
    </row>
    <row r="8" spans="1:10" ht="14.25" thickBot="1" x14ac:dyDescent="0.2">
      <c r="A8" s="228" t="s">
        <v>308</v>
      </c>
      <c r="B8" s="188" t="s">
        <v>309</v>
      </c>
      <c r="C8" s="188" t="s">
        <v>310</v>
      </c>
      <c r="D8" s="188" t="s">
        <v>311</v>
      </c>
      <c r="E8" s="188" t="s">
        <v>11</v>
      </c>
      <c r="F8" s="228" t="s">
        <v>308</v>
      </c>
      <c r="G8" s="188" t="s">
        <v>309</v>
      </c>
      <c r="H8" s="188" t="s">
        <v>310</v>
      </c>
      <c r="I8" s="188" t="s">
        <v>311</v>
      </c>
      <c r="J8" s="188" t="s">
        <v>11</v>
      </c>
    </row>
    <row r="9" spans="1:10" ht="14.25" thickBot="1" x14ac:dyDescent="0.2">
      <c r="A9" s="744">
        <v>1</v>
      </c>
      <c r="B9" s="190" t="s">
        <v>312</v>
      </c>
      <c r="C9" s="191">
        <v>0.67</v>
      </c>
      <c r="D9" s="745" t="s">
        <v>1</v>
      </c>
      <c r="E9" s="746"/>
      <c r="F9" s="744">
        <v>2</v>
      </c>
      <c r="G9" s="190" t="s">
        <v>312</v>
      </c>
      <c r="H9" s="191">
        <v>0.76</v>
      </c>
      <c r="I9" s="745" t="s">
        <v>339</v>
      </c>
      <c r="J9" s="746"/>
    </row>
    <row r="10" spans="1:10" ht="14.25" thickBot="1" x14ac:dyDescent="0.2">
      <c r="A10" s="744"/>
      <c r="B10" s="190" t="s">
        <v>313</v>
      </c>
      <c r="C10" s="191">
        <v>0.83</v>
      </c>
      <c r="D10" s="745"/>
      <c r="E10" s="746"/>
      <c r="F10" s="744"/>
      <c r="G10" s="190" t="s">
        <v>313</v>
      </c>
      <c r="H10" s="191">
        <v>0.89</v>
      </c>
      <c r="I10" s="745"/>
      <c r="J10" s="746"/>
    </row>
    <row r="11" spans="1:10" ht="14.25" thickBot="1" x14ac:dyDescent="0.2">
      <c r="A11" s="744">
        <v>3</v>
      </c>
      <c r="B11" s="190" t="s">
        <v>312</v>
      </c>
      <c r="C11" s="191">
        <v>0.69</v>
      </c>
      <c r="D11" s="745" t="s">
        <v>1</v>
      </c>
      <c r="E11" s="746"/>
      <c r="F11" s="744">
        <v>4</v>
      </c>
      <c r="G11" s="190" t="s">
        <v>312</v>
      </c>
      <c r="H11" s="191">
        <v>0.69</v>
      </c>
      <c r="I11" s="745" t="s">
        <v>1</v>
      </c>
      <c r="J11" s="746"/>
    </row>
    <row r="12" spans="1:10" ht="14.25" thickBot="1" x14ac:dyDescent="0.2">
      <c r="A12" s="744"/>
      <c r="B12" s="190" t="s">
        <v>313</v>
      </c>
      <c r="C12" s="191">
        <v>0.59</v>
      </c>
      <c r="D12" s="745"/>
      <c r="E12" s="746"/>
      <c r="F12" s="744"/>
      <c r="G12" s="190" t="s">
        <v>313</v>
      </c>
      <c r="H12" s="191">
        <v>0.59</v>
      </c>
      <c r="I12" s="745"/>
      <c r="J12" s="746"/>
    </row>
    <row r="13" spans="1:10" ht="14.25" thickBot="1" x14ac:dyDescent="0.2">
      <c r="A13" s="744">
        <v>5</v>
      </c>
      <c r="B13" s="190" t="s">
        <v>312</v>
      </c>
      <c r="C13" s="191">
        <v>0.55000000000000004</v>
      </c>
      <c r="D13" s="745" t="s">
        <v>1</v>
      </c>
      <c r="E13" s="746"/>
      <c r="F13" s="744">
        <v>6</v>
      </c>
      <c r="G13" s="190" t="s">
        <v>312</v>
      </c>
      <c r="H13" s="191">
        <v>0.87</v>
      </c>
      <c r="I13" s="745" t="s">
        <v>1</v>
      </c>
      <c r="J13" s="746"/>
    </row>
    <row r="14" spans="1:10" ht="14.25" thickBot="1" x14ac:dyDescent="0.2">
      <c r="A14" s="744"/>
      <c r="B14" s="190" t="s">
        <v>313</v>
      </c>
      <c r="C14" s="191">
        <v>1.1200000000000001</v>
      </c>
      <c r="D14" s="745"/>
      <c r="E14" s="746"/>
      <c r="F14" s="744"/>
      <c r="G14" s="190" t="s">
        <v>313</v>
      </c>
      <c r="H14" s="191">
        <v>0.99</v>
      </c>
      <c r="I14" s="745"/>
      <c r="J14" s="746"/>
    </row>
    <row r="15" spans="1:10" ht="14.25" thickBot="1" x14ac:dyDescent="0.2">
      <c r="A15" s="744">
        <v>7</v>
      </c>
      <c r="B15" s="190" t="s">
        <v>312</v>
      </c>
      <c r="C15" s="191">
        <v>0.65</v>
      </c>
      <c r="D15" s="745" t="s">
        <v>1</v>
      </c>
      <c r="E15" s="746"/>
      <c r="F15" s="744">
        <v>8</v>
      </c>
      <c r="G15" s="190" t="s">
        <v>312</v>
      </c>
      <c r="H15" s="191">
        <v>0.52</v>
      </c>
      <c r="I15" s="745" t="s">
        <v>1</v>
      </c>
      <c r="J15" s="751"/>
    </row>
    <row r="16" spans="1:10" ht="14.25" thickBot="1" x14ac:dyDescent="0.2">
      <c r="A16" s="744"/>
      <c r="B16" s="190" t="s">
        <v>313</v>
      </c>
      <c r="C16" s="191">
        <v>0.92</v>
      </c>
      <c r="D16" s="745"/>
      <c r="E16" s="746"/>
      <c r="F16" s="744"/>
      <c r="G16" s="190" t="s">
        <v>313</v>
      </c>
      <c r="H16" s="191">
        <v>0.69</v>
      </c>
      <c r="I16" s="745"/>
      <c r="J16" s="752"/>
    </row>
    <row r="17" spans="1:10" ht="14.25" thickBot="1" x14ac:dyDescent="0.2">
      <c r="A17" s="744">
        <v>9</v>
      </c>
      <c r="B17" s="190" t="s">
        <v>312</v>
      </c>
      <c r="C17" s="191">
        <v>0.87</v>
      </c>
      <c r="D17" s="745" t="s">
        <v>1</v>
      </c>
      <c r="E17" s="751"/>
      <c r="F17" s="744">
        <v>10</v>
      </c>
      <c r="G17" s="190" t="s">
        <v>312</v>
      </c>
      <c r="H17" s="191">
        <v>0.87</v>
      </c>
      <c r="I17" s="745" t="s">
        <v>1</v>
      </c>
      <c r="J17" s="751"/>
    </row>
    <row r="18" spans="1:10" ht="14.25" thickBot="1" x14ac:dyDescent="0.2">
      <c r="A18" s="744"/>
      <c r="B18" s="190" t="s">
        <v>313</v>
      </c>
      <c r="C18" s="191">
        <v>0.93</v>
      </c>
      <c r="D18" s="745"/>
      <c r="E18" s="752"/>
      <c r="F18" s="744"/>
      <c r="G18" s="190" t="s">
        <v>313</v>
      </c>
      <c r="H18" s="191">
        <v>0.99</v>
      </c>
      <c r="I18" s="745"/>
      <c r="J18" s="752"/>
    </row>
    <row r="19" spans="1:10" ht="14.25" thickBot="1" x14ac:dyDescent="0.2">
      <c r="A19" s="744">
        <v>11</v>
      </c>
      <c r="B19" s="190" t="s">
        <v>312</v>
      </c>
      <c r="C19" s="191">
        <v>0.67</v>
      </c>
      <c r="D19" s="745" t="s">
        <v>1</v>
      </c>
      <c r="E19" s="746"/>
      <c r="F19" s="744">
        <v>12</v>
      </c>
      <c r="G19" s="190" t="s">
        <v>312</v>
      </c>
      <c r="H19" s="191">
        <v>0.67</v>
      </c>
      <c r="I19" s="750"/>
      <c r="J19" s="746"/>
    </row>
    <row r="20" spans="1:10" ht="14.25" thickBot="1" x14ac:dyDescent="0.2">
      <c r="A20" s="744"/>
      <c r="B20" s="190" t="s">
        <v>313</v>
      </c>
      <c r="C20" s="191">
        <v>0.82</v>
      </c>
      <c r="D20" s="745"/>
      <c r="E20" s="746"/>
      <c r="F20" s="744"/>
      <c r="G20" s="190" t="s">
        <v>313</v>
      </c>
      <c r="H20" s="191">
        <v>0.74</v>
      </c>
      <c r="I20" s="750"/>
      <c r="J20" s="746"/>
    </row>
    <row r="21" spans="1:10" ht="13.5" customHeight="1" thickBot="1" x14ac:dyDescent="0.2">
      <c r="A21" s="749" t="s">
        <v>388</v>
      </c>
      <c r="B21" s="749"/>
      <c r="C21" s="229"/>
      <c r="D21" s="229"/>
      <c r="E21" s="229"/>
      <c r="F21" s="229"/>
      <c r="G21" s="229"/>
      <c r="H21" s="229"/>
      <c r="I21" s="229"/>
      <c r="J21" s="230"/>
    </row>
    <row r="22" spans="1:10" ht="14.25" thickBot="1" x14ac:dyDescent="0.2">
      <c r="A22" s="744">
        <v>1</v>
      </c>
      <c r="B22" s="190" t="s">
        <v>312</v>
      </c>
      <c r="C22" s="191">
        <v>0.67</v>
      </c>
      <c r="D22" s="745" t="s">
        <v>1</v>
      </c>
      <c r="E22" s="746"/>
      <c r="F22" s="744">
        <v>2</v>
      </c>
      <c r="G22" s="196" t="s">
        <v>312</v>
      </c>
      <c r="H22" s="191">
        <v>0.76</v>
      </c>
      <c r="I22" s="745" t="s">
        <v>1</v>
      </c>
      <c r="J22" s="746"/>
    </row>
    <row r="23" spans="1:10" ht="14.25" thickBot="1" x14ac:dyDescent="0.2">
      <c r="A23" s="744"/>
      <c r="B23" s="190" t="s">
        <v>313</v>
      </c>
      <c r="C23" s="191">
        <v>0.51</v>
      </c>
      <c r="D23" s="745"/>
      <c r="E23" s="746"/>
      <c r="F23" s="744"/>
      <c r="G23" s="196" t="s">
        <v>313</v>
      </c>
      <c r="H23" s="191">
        <v>0.89</v>
      </c>
      <c r="I23" s="745"/>
      <c r="J23" s="746"/>
    </row>
    <row r="24" spans="1:10" ht="12.95" customHeight="1" thickBot="1" x14ac:dyDescent="0.2">
      <c r="A24" s="744">
        <v>3</v>
      </c>
      <c r="B24" s="190" t="s">
        <v>312</v>
      </c>
      <c r="C24" s="191">
        <v>0.5</v>
      </c>
      <c r="D24" s="745" t="s">
        <v>1</v>
      </c>
      <c r="E24" s="746"/>
      <c r="F24" s="744">
        <v>4</v>
      </c>
      <c r="G24" s="196" t="s">
        <v>312</v>
      </c>
      <c r="H24" s="191">
        <v>0.41</v>
      </c>
      <c r="I24" s="745" t="s">
        <v>1</v>
      </c>
      <c r="J24" s="746"/>
    </row>
    <row r="25" spans="1:10" ht="14.25" thickBot="1" x14ac:dyDescent="0.2">
      <c r="A25" s="744"/>
      <c r="B25" s="190" t="s">
        <v>313</v>
      </c>
      <c r="C25" s="191">
        <v>0.59</v>
      </c>
      <c r="D25" s="745"/>
      <c r="E25" s="746"/>
      <c r="F25" s="744"/>
      <c r="G25" s="196" t="s">
        <v>313</v>
      </c>
      <c r="H25" s="191">
        <v>0.56000000000000005</v>
      </c>
      <c r="I25" s="745"/>
      <c r="J25" s="746"/>
    </row>
    <row r="26" spans="1:10" ht="14.25" thickBot="1" x14ac:dyDescent="0.2">
      <c r="A26" s="744">
        <v>5</v>
      </c>
      <c r="B26" s="190" t="s">
        <v>312</v>
      </c>
      <c r="C26" s="191">
        <v>0.55000000000000004</v>
      </c>
      <c r="D26" s="745" t="s">
        <v>1</v>
      </c>
      <c r="E26" s="746"/>
      <c r="F26" s="744">
        <v>6</v>
      </c>
      <c r="G26" s="196" t="s">
        <v>312</v>
      </c>
      <c r="H26" s="191">
        <v>0.56999999999999995</v>
      </c>
      <c r="I26" s="745" t="s">
        <v>1</v>
      </c>
      <c r="J26" s="746"/>
    </row>
    <row r="27" spans="1:10" ht="14.25" thickBot="1" x14ac:dyDescent="0.2">
      <c r="A27" s="744"/>
      <c r="B27" s="190" t="s">
        <v>313</v>
      </c>
      <c r="C27" s="191">
        <v>0.65</v>
      </c>
      <c r="D27" s="745"/>
      <c r="E27" s="746"/>
      <c r="F27" s="744"/>
      <c r="G27" s="196" t="s">
        <v>313</v>
      </c>
      <c r="H27" s="191">
        <v>0.67</v>
      </c>
      <c r="I27" s="745"/>
      <c r="J27" s="746"/>
    </row>
    <row r="28" spans="1:10" ht="14.25" thickBot="1" x14ac:dyDescent="0.2">
      <c r="A28" s="744">
        <v>7</v>
      </c>
      <c r="B28" s="190" t="s">
        <v>312</v>
      </c>
      <c r="C28" s="191">
        <v>0.78</v>
      </c>
      <c r="D28" s="745" t="s">
        <v>1</v>
      </c>
      <c r="E28" s="746"/>
      <c r="F28" s="744">
        <v>8</v>
      </c>
      <c r="G28" s="196" t="s">
        <v>312</v>
      </c>
      <c r="H28" s="191">
        <v>0.51</v>
      </c>
      <c r="I28" s="745" t="s">
        <v>1</v>
      </c>
      <c r="J28" s="746"/>
    </row>
    <row r="29" spans="1:10" ht="14.25" thickBot="1" x14ac:dyDescent="0.2">
      <c r="A29" s="744"/>
      <c r="B29" s="190" t="s">
        <v>313</v>
      </c>
      <c r="C29" s="191">
        <v>0.91</v>
      </c>
      <c r="D29" s="745"/>
      <c r="E29" s="746"/>
      <c r="F29" s="744"/>
      <c r="G29" s="196" t="s">
        <v>313</v>
      </c>
      <c r="H29" s="191">
        <v>0.89</v>
      </c>
      <c r="I29" s="745"/>
      <c r="J29" s="746"/>
    </row>
    <row r="30" spans="1:10" ht="14.25" thickBot="1" x14ac:dyDescent="0.2">
      <c r="A30" s="744">
        <v>9</v>
      </c>
      <c r="B30" s="190" t="s">
        <v>312</v>
      </c>
      <c r="C30" s="191">
        <v>0.62</v>
      </c>
      <c r="D30" s="745" t="s">
        <v>1</v>
      </c>
      <c r="E30" s="746"/>
      <c r="F30" s="744">
        <v>10</v>
      </c>
      <c r="G30" s="190" t="s">
        <v>312</v>
      </c>
      <c r="H30" s="191">
        <v>0.33</v>
      </c>
      <c r="I30" s="753" t="s">
        <v>358</v>
      </c>
      <c r="J30" s="746"/>
    </row>
    <row r="31" spans="1:10" ht="14.25" thickBot="1" x14ac:dyDescent="0.2">
      <c r="A31" s="744"/>
      <c r="B31" s="190" t="s">
        <v>313</v>
      </c>
      <c r="C31" s="191">
        <v>0.81</v>
      </c>
      <c r="D31" s="745"/>
      <c r="E31" s="746"/>
      <c r="F31" s="744"/>
      <c r="G31" s="190" t="s">
        <v>313</v>
      </c>
      <c r="H31" s="191">
        <v>0.39</v>
      </c>
      <c r="I31" s="753"/>
      <c r="J31" s="746"/>
    </row>
    <row r="32" spans="1:10" ht="14.25" thickBot="1" x14ac:dyDescent="0.2">
      <c r="A32" s="744">
        <v>11</v>
      </c>
      <c r="B32" s="190" t="s">
        <v>312</v>
      </c>
      <c r="C32" s="191">
        <v>0.67</v>
      </c>
      <c r="D32" s="745" t="s">
        <v>1</v>
      </c>
      <c r="E32" s="746"/>
      <c r="F32" s="744">
        <v>12</v>
      </c>
      <c r="G32" s="192"/>
      <c r="H32" s="193"/>
      <c r="I32" s="750"/>
      <c r="J32" s="746"/>
    </row>
    <row r="33" spans="1:10" ht="14.25" thickBot="1" x14ac:dyDescent="0.2">
      <c r="A33" s="744"/>
      <c r="B33" s="190" t="s">
        <v>313</v>
      </c>
      <c r="C33" s="191">
        <v>0.61</v>
      </c>
      <c r="D33" s="745"/>
      <c r="E33" s="746"/>
      <c r="F33" s="744"/>
      <c r="G33" s="194"/>
      <c r="H33" s="195"/>
      <c r="I33" s="750"/>
      <c r="J33" s="746"/>
    </row>
    <row r="34" spans="1:10" ht="14.25" thickBot="1" x14ac:dyDescent="0.2">
      <c r="A34" s="749" t="s">
        <v>389</v>
      </c>
      <c r="B34" s="749"/>
    </row>
    <row r="35" spans="1:10" ht="14.25" thickBot="1" x14ac:dyDescent="0.2">
      <c r="A35" s="228" t="s">
        <v>308</v>
      </c>
      <c r="B35" s="188" t="s">
        <v>309</v>
      </c>
      <c r="C35" s="188" t="s">
        <v>310</v>
      </c>
      <c r="D35" s="188" t="s">
        <v>311</v>
      </c>
      <c r="E35" s="188" t="s">
        <v>11</v>
      </c>
      <c r="F35" s="228" t="s">
        <v>308</v>
      </c>
      <c r="G35" s="188" t="s">
        <v>309</v>
      </c>
      <c r="H35" s="188" t="s">
        <v>310</v>
      </c>
      <c r="I35" s="188" t="s">
        <v>311</v>
      </c>
      <c r="J35" s="188" t="s">
        <v>11</v>
      </c>
    </row>
    <row r="36" spans="1:10" ht="14.25" thickBot="1" x14ac:dyDescent="0.2">
      <c r="A36" s="744">
        <v>1</v>
      </c>
      <c r="B36" s="190" t="s">
        <v>312</v>
      </c>
      <c r="C36" s="191">
        <v>0.85</v>
      </c>
      <c r="D36" s="745" t="s">
        <v>1</v>
      </c>
      <c r="E36" s="746"/>
      <c r="F36" s="744">
        <v>2</v>
      </c>
      <c r="G36" s="190" t="s">
        <v>312</v>
      </c>
      <c r="H36" s="191">
        <v>0.69</v>
      </c>
      <c r="I36" s="745" t="s">
        <v>339</v>
      </c>
      <c r="J36" s="746"/>
    </row>
    <row r="37" spans="1:10" ht="14.25" thickBot="1" x14ac:dyDescent="0.2">
      <c r="A37" s="744"/>
      <c r="B37" s="190" t="s">
        <v>313</v>
      </c>
      <c r="C37" s="191">
        <v>0.52</v>
      </c>
      <c r="D37" s="745"/>
      <c r="E37" s="746"/>
      <c r="F37" s="744"/>
      <c r="G37" s="190" t="s">
        <v>313</v>
      </c>
      <c r="H37" s="191">
        <v>0.57999999999999996</v>
      </c>
      <c r="I37" s="745"/>
      <c r="J37" s="746"/>
    </row>
    <row r="38" spans="1:10" ht="13.5" customHeight="1" thickBot="1" x14ac:dyDescent="0.2">
      <c r="A38" s="744">
        <v>3</v>
      </c>
      <c r="B38" s="190" t="s">
        <v>312</v>
      </c>
      <c r="C38" s="191">
        <v>0.45</v>
      </c>
      <c r="D38" s="745" t="s">
        <v>1</v>
      </c>
      <c r="E38" s="746"/>
      <c r="F38" s="744">
        <v>4</v>
      </c>
      <c r="G38" s="190" t="s">
        <v>312</v>
      </c>
      <c r="H38" s="191">
        <v>0.56999999999999995</v>
      </c>
      <c r="I38" s="745" t="s">
        <v>1</v>
      </c>
      <c r="J38" s="746"/>
    </row>
    <row r="39" spans="1:10" ht="13.5" customHeight="1" thickBot="1" x14ac:dyDescent="0.2">
      <c r="A39" s="744"/>
      <c r="B39" s="190" t="s">
        <v>313</v>
      </c>
      <c r="C39" s="191">
        <v>0.63</v>
      </c>
      <c r="D39" s="745"/>
      <c r="E39" s="746"/>
      <c r="F39" s="744"/>
      <c r="G39" s="190" t="s">
        <v>313</v>
      </c>
      <c r="H39" s="191">
        <v>0.62</v>
      </c>
      <c r="I39" s="745"/>
      <c r="J39" s="746"/>
    </row>
    <row r="40" spans="1:10" ht="14.25" thickBot="1" x14ac:dyDescent="0.2">
      <c r="A40" s="744">
        <v>5</v>
      </c>
      <c r="B40" s="190" t="s">
        <v>312</v>
      </c>
      <c r="C40" s="191">
        <v>0.41</v>
      </c>
      <c r="D40" s="745" t="s">
        <v>1</v>
      </c>
      <c r="E40" s="746"/>
      <c r="F40" s="744">
        <v>6</v>
      </c>
      <c r="G40" s="190" t="s">
        <v>312</v>
      </c>
      <c r="H40" s="191">
        <v>0.83</v>
      </c>
      <c r="I40" s="745" t="s">
        <v>1</v>
      </c>
      <c r="J40" s="746"/>
    </row>
    <row r="41" spans="1:10" ht="14.25" thickBot="1" x14ac:dyDescent="0.2">
      <c r="A41" s="744"/>
      <c r="B41" s="190" t="s">
        <v>313</v>
      </c>
      <c r="C41" s="191">
        <v>0.54</v>
      </c>
      <c r="D41" s="745"/>
      <c r="E41" s="746"/>
      <c r="F41" s="744"/>
      <c r="G41" s="190" t="s">
        <v>313</v>
      </c>
      <c r="H41" s="191">
        <v>0.71</v>
      </c>
      <c r="I41" s="745"/>
      <c r="J41" s="746"/>
    </row>
    <row r="42" spans="1:10" ht="14.25" thickBot="1" x14ac:dyDescent="0.2">
      <c r="A42" s="744">
        <v>7</v>
      </c>
      <c r="B42" s="190" t="s">
        <v>312</v>
      </c>
      <c r="C42" s="191">
        <v>0.48</v>
      </c>
      <c r="D42" s="745" t="s">
        <v>1</v>
      </c>
      <c r="E42" s="746"/>
      <c r="F42" s="744">
        <v>8</v>
      </c>
      <c r="G42" s="190" t="s">
        <v>312</v>
      </c>
      <c r="H42" s="191">
        <v>0.84</v>
      </c>
      <c r="I42" s="745" t="s">
        <v>1</v>
      </c>
      <c r="J42" s="751"/>
    </row>
    <row r="43" spans="1:10" ht="14.25" thickBot="1" x14ac:dyDescent="0.2">
      <c r="A43" s="744"/>
      <c r="B43" s="190" t="s">
        <v>313</v>
      </c>
      <c r="C43" s="191">
        <v>0.54</v>
      </c>
      <c r="D43" s="745"/>
      <c r="E43" s="746"/>
      <c r="F43" s="744"/>
      <c r="G43" s="190" t="s">
        <v>313</v>
      </c>
      <c r="H43" s="191">
        <v>0.59</v>
      </c>
      <c r="I43" s="745"/>
      <c r="J43" s="752"/>
    </row>
    <row r="44" spans="1:10" ht="14.25" thickBot="1" x14ac:dyDescent="0.2">
      <c r="A44" s="744">
        <v>9</v>
      </c>
      <c r="B44" s="190" t="s">
        <v>312</v>
      </c>
      <c r="C44" s="191">
        <v>0.67</v>
      </c>
      <c r="D44" s="745" t="s">
        <v>1</v>
      </c>
      <c r="E44" s="751"/>
      <c r="F44" s="744">
        <v>10</v>
      </c>
      <c r="G44" s="190" t="s">
        <v>312</v>
      </c>
      <c r="H44" s="191">
        <v>0.22</v>
      </c>
      <c r="I44" s="753" t="s">
        <v>358</v>
      </c>
      <c r="J44" s="751"/>
    </row>
    <row r="45" spans="1:10" ht="14.25" thickBot="1" x14ac:dyDescent="0.2">
      <c r="A45" s="744"/>
      <c r="B45" s="190" t="s">
        <v>313</v>
      </c>
      <c r="C45" s="191">
        <v>0.82</v>
      </c>
      <c r="D45" s="745"/>
      <c r="E45" s="752"/>
      <c r="F45" s="744"/>
      <c r="G45" s="190" t="s">
        <v>313</v>
      </c>
      <c r="H45" s="191">
        <v>0.28999999999999998</v>
      </c>
      <c r="I45" s="753"/>
      <c r="J45" s="752"/>
    </row>
    <row r="46" spans="1:10" ht="14.25" thickBot="1" x14ac:dyDescent="0.2">
      <c r="A46" s="744">
        <v>11</v>
      </c>
      <c r="B46" s="190" t="s">
        <v>312</v>
      </c>
      <c r="C46" s="191">
        <v>0.69</v>
      </c>
      <c r="D46" s="745" t="s">
        <v>1</v>
      </c>
      <c r="E46" s="746"/>
      <c r="F46" s="744">
        <v>12</v>
      </c>
      <c r="G46" s="190" t="s">
        <v>312</v>
      </c>
      <c r="H46" s="191">
        <v>0.53</v>
      </c>
      <c r="I46" s="750"/>
      <c r="J46" s="746"/>
    </row>
    <row r="47" spans="1:10" ht="14.25" thickBot="1" x14ac:dyDescent="0.2">
      <c r="A47" s="744"/>
      <c r="B47" s="190" t="s">
        <v>313</v>
      </c>
      <c r="C47" s="191">
        <v>0.83</v>
      </c>
      <c r="D47" s="745"/>
      <c r="E47" s="746"/>
      <c r="F47" s="744"/>
      <c r="G47" s="190" t="s">
        <v>313</v>
      </c>
      <c r="H47" s="191">
        <v>0.64</v>
      </c>
      <c r="I47" s="750"/>
      <c r="J47" s="746"/>
    </row>
  </sheetData>
  <mergeCells count="112">
    <mergeCell ref="A46:A47"/>
    <mergeCell ref="D46:D47"/>
    <mergeCell ref="E46:E47"/>
    <mergeCell ref="F46:F47"/>
    <mergeCell ref="I46:I47"/>
    <mergeCell ref="J46:J47"/>
    <mergeCell ref="A44:A45"/>
    <mergeCell ref="D44:D45"/>
    <mergeCell ref="E44:E45"/>
    <mergeCell ref="F44:F45"/>
    <mergeCell ref="I44:I45"/>
    <mergeCell ref="J44:J45"/>
    <mergeCell ref="A42:A43"/>
    <mergeCell ref="D42:D43"/>
    <mergeCell ref="E42:E43"/>
    <mergeCell ref="F42:F43"/>
    <mergeCell ref="I42:I43"/>
    <mergeCell ref="J42:J43"/>
    <mergeCell ref="A40:A41"/>
    <mergeCell ref="D40:D41"/>
    <mergeCell ref="E40:E41"/>
    <mergeCell ref="F40:F41"/>
    <mergeCell ref="I40:I41"/>
    <mergeCell ref="J40:J41"/>
    <mergeCell ref="J36:J37"/>
    <mergeCell ref="A38:A39"/>
    <mergeCell ref="D38:D39"/>
    <mergeCell ref="E38:E39"/>
    <mergeCell ref="F38:F39"/>
    <mergeCell ref="I38:I39"/>
    <mergeCell ref="J38:J39"/>
    <mergeCell ref="A34:B34"/>
    <mergeCell ref="A36:A37"/>
    <mergeCell ref="D36:D37"/>
    <mergeCell ref="E36:E37"/>
    <mergeCell ref="F36:F37"/>
    <mergeCell ref="I36:I37"/>
    <mergeCell ref="A32:A33"/>
    <mergeCell ref="D32:D33"/>
    <mergeCell ref="E32:E33"/>
    <mergeCell ref="F32:F33"/>
    <mergeCell ref="I32:I33"/>
    <mergeCell ref="J32:J33"/>
    <mergeCell ref="A30:A31"/>
    <mergeCell ref="D30:D31"/>
    <mergeCell ref="E30:E31"/>
    <mergeCell ref="F30:F31"/>
    <mergeCell ref="I30:I31"/>
    <mergeCell ref="J30:J31"/>
    <mergeCell ref="A28:A29"/>
    <mergeCell ref="D28:D29"/>
    <mergeCell ref="E28:E29"/>
    <mergeCell ref="F28:F29"/>
    <mergeCell ref="I28:I29"/>
    <mergeCell ref="J28:J29"/>
    <mergeCell ref="A26:A27"/>
    <mergeCell ref="D26:D27"/>
    <mergeCell ref="E26:E27"/>
    <mergeCell ref="F26:F27"/>
    <mergeCell ref="I26:I27"/>
    <mergeCell ref="J26:J27"/>
    <mergeCell ref="J22:J23"/>
    <mergeCell ref="A24:A25"/>
    <mergeCell ref="D24:D25"/>
    <mergeCell ref="E24:E25"/>
    <mergeCell ref="F24:F25"/>
    <mergeCell ref="I24:I25"/>
    <mergeCell ref="J24:J25"/>
    <mergeCell ref="A21:B21"/>
    <mergeCell ref="A22:A23"/>
    <mergeCell ref="D22:D23"/>
    <mergeCell ref="E22:E23"/>
    <mergeCell ref="F22:F23"/>
    <mergeCell ref="I22:I23"/>
    <mergeCell ref="A19:A20"/>
    <mergeCell ref="D19:D20"/>
    <mergeCell ref="E19:E20"/>
    <mergeCell ref="F19:F20"/>
    <mergeCell ref="I19:I20"/>
    <mergeCell ref="J19:J20"/>
    <mergeCell ref="A17:A18"/>
    <mergeCell ref="D17:D18"/>
    <mergeCell ref="E17:E18"/>
    <mergeCell ref="F17:F18"/>
    <mergeCell ref="I17:I18"/>
    <mergeCell ref="J17:J18"/>
    <mergeCell ref="A15:A16"/>
    <mergeCell ref="D15:D16"/>
    <mergeCell ref="E15:E16"/>
    <mergeCell ref="F15:F16"/>
    <mergeCell ref="I15:I16"/>
    <mergeCell ref="J15:J16"/>
    <mergeCell ref="A13:A14"/>
    <mergeCell ref="D13:D14"/>
    <mergeCell ref="E13:E14"/>
    <mergeCell ref="F13:F14"/>
    <mergeCell ref="I13:I14"/>
    <mergeCell ref="J13:J14"/>
    <mergeCell ref="J9:J10"/>
    <mergeCell ref="A11:A12"/>
    <mergeCell ref="D11:D12"/>
    <mergeCell ref="E11:E12"/>
    <mergeCell ref="F11:F12"/>
    <mergeCell ref="I11:I12"/>
    <mergeCell ref="J11:J12"/>
    <mergeCell ref="B3:I4"/>
    <mergeCell ref="A7:B7"/>
    <mergeCell ref="A9:A10"/>
    <mergeCell ref="D9:D10"/>
    <mergeCell ref="E9:E10"/>
    <mergeCell ref="F9:F10"/>
    <mergeCell ref="I9:I10"/>
  </mergeCells>
  <phoneticPr fontId="2"/>
  <pageMargins left="0.78740157480314965" right="0" top="0.19685039370078741" bottom="0.19685039370078741" header="0.31496062992125984" footer="0.31496062992125984"/>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4:G22"/>
  <sheetViews>
    <sheetView tabSelected="1" view="pageBreakPreview" zoomScale="130" zoomScaleNormal="100" zoomScaleSheetLayoutView="130" workbookViewId="0">
      <selection activeCell="B33" sqref="B33:G33"/>
    </sheetView>
  </sheetViews>
  <sheetFormatPr defaultRowHeight="13.5" x14ac:dyDescent="0.15"/>
  <cols>
    <col min="1" max="1" width="2" customWidth="1"/>
    <col min="2" max="2" width="23.75" customWidth="1"/>
    <col min="3" max="3" width="8" customWidth="1"/>
    <col min="4" max="4" width="5.875" customWidth="1"/>
    <col min="5" max="5" width="6.75" customWidth="1"/>
    <col min="7" max="7" width="15.75" customWidth="1"/>
  </cols>
  <sheetData>
    <row r="4" spans="2:7" x14ac:dyDescent="0.15">
      <c r="B4" s="757" t="s">
        <v>341</v>
      </c>
      <c r="C4" s="757"/>
      <c r="D4" s="757"/>
      <c r="E4" s="757"/>
      <c r="F4" s="757"/>
      <c r="G4" s="757"/>
    </row>
    <row r="5" spans="2:7" x14ac:dyDescent="0.15">
      <c r="B5" s="757"/>
      <c r="C5" s="757"/>
      <c r="D5" s="757"/>
      <c r="E5" s="757"/>
      <c r="F5" s="757"/>
      <c r="G5" s="757"/>
    </row>
    <row r="7" spans="2:7" x14ac:dyDescent="0.15">
      <c r="B7" s="154" t="s">
        <v>314</v>
      </c>
      <c r="C7" s="154" t="s">
        <v>315</v>
      </c>
      <c r="D7" s="155" t="s">
        <v>25</v>
      </c>
      <c r="E7" s="144" t="s">
        <v>311</v>
      </c>
      <c r="F7" s="760" t="s">
        <v>316</v>
      </c>
      <c r="G7" s="760"/>
    </row>
    <row r="8" spans="2:7" ht="14.25" x14ac:dyDescent="0.15">
      <c r="B8" s="156" t="s">
        <v>317</v>
      </c>
      <c r="C8" s="154"/>
      <c r="D8" s="154"/>
      <c r="E8" s="154"/>
      <c r="F8" s="754"/>
      <c r="G8" s="754"/>
    </row>
    <row r="9" spans="2:7" x14ac:dyDescent="0.15">
      <c r="B9" s="154" t="s">
        <v>325</v>
      </c>
      <c r="C9" s="144" t="s">
        <v>318</v>
      </c>
      <c r="D9" s="185">
        <v>4</v>
      </c>
      <c r="E9" s="161" t="s">
        <v>1</v>
      </c>
      <c r="F9" s="754"/>
      <c r="G9" s="754"/>
    </row>
    <row r="10" spans="2:7" x14ac:dyDescent="0.15">
      <c r="B10" s="155" t="s">
        <v>326</v>
      </c>
      <c r="C10" s="144" t="s">
        <v>20</v>
      </c>
      <c r="D10" s="185">
        <v>20</v>
      </c>
      <c r="E10" s="161" t="s">
        <v>20</v>
      </c>
      <c r="F10" s="754"/>
      <c r="G10" s="754"/>
    </row>
    <row r="11" spans="2:7" x14ac:dyDescent="0.15">
      <c r="B11" s="155" t="s">
        <v>327</v>
      </c>
      <c r="C11" s="144" t="s">
        <v>20</v>
      </c>
      <c r="D11" s="185" t="s">
        <v>20</v>
      </c>
      <c r="E11" s="161" t="s">
        <v>20</v>
      </c>
      <c r="F11" s="754"/>
      <c r="G11" s="754"/>
    </row>
    <row r="12" spans="2:7" x14ac:dyDescent="0.15">
      <c r="B12" s="155" t="s">
        <v>328</v>
      </c>
      <c r="C12" s="144" t="s">
        <v>20</v>
      </c>
      <c r="D12" s="185" t="s">
        <v>20</v>
      </c>
      <c r="E12" s="161" t="s">
        <v>20</v>
      </c>
      <c r="F12" s="754"/>
      <c r="G12" s="754"/>
    </row>
    <row r="13" spans="2:7" x14ac:dyDescent="0.15">
      <c r="B13" s="155" t="s">
        <v>329</v>
      </c>
      <c r="C13" s="144" t="s">
        <v>20</v>
      </c>
      <c r="D13" s="185">
        <v>5</v>
      </c>
      <c r="E13" s="161" t="s">
        <v>20</v>
      </c>
      <c r="F13" s="754"/>
      <c r="G13" s="754"/>
    </row>
    <row r="14" spans="2:7" x14ac:dyDescent="0.15">
      <c r="B14" s="155" t="s">
        <v>330</v>
      </c>
      <c r="C14" s="144" t="s">
        <v>20</v>
      </c>
      <c r="D14" s="185">
        <v>20</v>
      </c>
      <c r="E14" s="161" t="s">
        <v>20</v>
      </c>
      <c r="F14" s="754"/>
      <c r="G14" s="754"/>
    </row>
    <row r="15" spans="2:7" x14ac:dyDescent="0.15">
      <c r="B15" s="155" t="s">
        <v>331</v>
      </c>
      <c r="C15" s="144" t="s">
        <v>20</v>
      </c>
      <c r="D15" s="185" t="s">
        <v>20</v>
      </c>
      <c r="E15" s="161" t="s">
        <v>20</v>
      </c>
      <c r="F15" s="754"/>
      <c r="G15" s="754"/>
    </row>
    <row r="16" spans="2:7" x14ac:dyDescent="0.15">
      <c r="B16" s="155" t="s">
        <v>332</v>
      </c>
      <c r="C16" s="144" t="s">
        <v>20</v>
      </c>
      <c r="D16" s="185" t="s">
        <v>20</v>
      </c>
      <c r="E16" s="161" t="s">
        <v>20</v>
      </c>
      <c r="F16" s="754"/>
      <c r="G16" s="754"/>
    </row>
    <row r="17" spans="2:7" x14ac:dyDescent="0.15">
      <c r="B17" s="155"/>
      <c r="C17" s="144"/>
      <c r="D17" s="157"/>
      <c r="E17" s="157"/>
      <c r="F17" s="758"/>
      <c r="G17" s="759"/>
    </row>
    <row r="18" spans="2:7" x14ac:dyDescent="0.15">
      <c r="B18" s="155"/>
      <c r="C18" s="144"/>
      <c r="D18" s="157"/>
      <c r="E18" s="157"/>
      <c r="F18" s="758"/>
      <c r="G18" s="759"/>
    </row>
    <row r="19" spans="2:7" x14ac:dyDescent="0.15">
      <c r="B19" s="155"/>
      <c r="C19" s="144"/>
      <c r="D19" s="157"/>
      <c r="E19" s="157"/>
      <c r="F19" s="758"/>
      <c r="G19" s="759"/>
    </row>
    <row r="20" spans="2:7" x14ac:dyDescent="0.15">
      <c r="B20" s="154"/>
      <c r="C20" s="144"/>
      <c r="D20" s="144"/>
      <c r="E20" s="144"/>
      <c r="F20" s="754"/>
      <c r="G20" s="754"/>
    </row>
    <row r="21" spans="2:7" ht="27" customHeight="1" x14ac:dyDescent="0.15">
      <c r="B21" s="158" t="s">
        <v>319</v>
      </c>
      <c r="C21" s="755" t="s">
        <v>320</v>
      </c>
      <c r="D21" s="755"/>
      <c r="E21" s="755"/>
      <c r="F21" s="755"/>
      <c r="G21" s="159" t="s">
        <v>321</v>
      </c>
    </row>
    <row r="22" spans="2:7" ht="21.75" customHeight="1" x14ac:dyDescent="0.15">
      <c r="B22" s="158" t="s">
        <v>322</v>
      </c>
      <c r="C22" s="756" t="s">
        <v>323</v>
      </c>
      <c r="D22" s="756"/>
      <c r="E22" s="756"/>
      <c r="F22" s="756"/>
      <c r="G22" s="160" t="s">
        <v>324</v>
      </c>
    </row>
  </sheetData>
  <mergeCells count="17">
    <mergeCell ref="F10:G10"/>
    <mergeCell ref="F11:G11"/>
    <mergeCell ref="C21:F21"/>
    <mergeCell ref="C22:F22"/>
    <mergeCell ref="B4:G5"/>
    <mergeCell ref="F18:G18"/>
    <mergeCell ref="F19:G19"/>
    <mergeCell ref="F20:G20"/>
    <mergeCell ref="F12:G12"/>
    <mergeCell ref="F13:G13"/>
    <mergeCell ref="F14:G14"/>
    <mergeCell ref="F15:G15"/>
    <mergeCell ref="F16:G16"/>
    <mergeCell ref="F17:G17"/>
    <mergeCell ref="F7:G7"/>
    <mergeCell ref="F8:G8"/>
    <mergeCell ref="F9:G9"/>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4:H29"/>
  <sheetViews>
    <sheetView tabSelected="1" view="pageBreakPreview" topLeftCell="A18" zoomScaleNormal="100" zoomScaleSheetLayoutView="100" workbookViewId="0">
      <selection activeCell="B33" sqref="B33:G33"/>
    </sheetView>
  </sheetViews>
  <sheetFormatPr defaultRowHeight="13.5" x14ac:dyDescent="0.15"/>
  <cols>
    <col min="1" max="1" width="5.125" customWidth="1"/>
    <col min="2" max="3" width="11.625" customWidth="1"/>
    <col min="4" max="4" width="14.75" customWidth="1"/>
    <col min="5" max="7" width="11.625" customWidth="1"/>
    <col min="8" max="8" width="15.375" customWidth="1"/>
  </cols>
  <sheetData>
    <row r="4" spans="1:8" s="134" customFormat="1" ht="25.5" x14ac:dyDescent="0.25">
      <c r="A4" s="763" t="s">
        <v>258</v>
      </c>
      <c r="B4" s="763"/>
      <c r="C4" s="763"/>
      <c r="D4" s="763"/>
      <c r="E4" s="763"/>
      <c r="F4" s="763"/>
      <c r="G4" s="763"/>
      <c r="H4" s="763"/>
    </row>
    <row r="5" spans="1:8" ht="39.75" customHeight="1" x14ac:dyDescent="0.15"/>
    <row r="6" spans="1:8" ht="18.75" customHeight="1" x14ac:dyDescent="0.15">
      <c r="A6" s="400"/>
      <c r="B6" s="400"/>
      <c r="C6" s="400"/>
      <c r="D6" s="400"/>
      <c r="E6" s="400"/>
      <c r="F6" s="400"/>
      <c r="G6" s="725"/>
      <c r="H6" s="725"/>
    </row>
    <row r="7" spans="1:8" ht="20.100000000000001" customHeight="1" thickBot="1" x14ac:dyDescent="0.2">
      <c r="A7" s="764"/>
      <c r="B7" s="764"/>
      <c r="C7" s="764"/>
      <c r="D7" s="764"/>
      <c r="E7" s="764"/>
      <c r="F7" s="764"/>
      <c r="G7" s="764"/>
      <c r="H7" s="764"/>
    </row>
    <row r="8" spans="1:8" ht="24.95" customHeight="1" x14ac:dyDescent="0.15">
      <c r="A8" s="81">
        <v>1</v>
      </c>
      <c r="B8" s="767" t="s">
        <v>259</v>
      </c>
      <c r="C8" s="768"/>
      <c r="D8" s="768"/>
      <c r="E8" s="768"/>
      <c r="F8" s="768"/>
      <c r="G8" s="769"/>
      <c r="H8" s="189" t="s">
        <v>1</v>
      </c>
    </row>
    <row r="9" spans="1:8" ht="24.95" customHeight="1" x14ac:dyDescent="0.15">
      <c r="A9" s="81">
        <v>2</v>
      </c>
      <c r="B9" s="770" t="s">
        <v>260</v>
      </c>
      <c r="C9" s="771"/>
      <c r="D9" s="771"/>
      <c r="E9" s="771"/>
      <c r="F9" s="771"/>
      <c r="G9" s="772"/>
      <c r="H9" s="189" t="s">
        <v>1</v>
      </c>
    </row>
    <row r="10" spans="1:8" ht="24.95" customHeight="1" x14ac:dyDescent="0.15">
      <c r="A10" s="81">
        <v>3</v>
      </c>
      <c r="B10" s="770" t="s">
        <v>261</v>
      </c>
      <c r="C10" s="771"/>
      <c r="D10" s="771"/>
      <c r="E10" s="771"/>
      <c r="F10" s="771"/>
      <c r="G10" s="772"/>
      <c r="H10" s="189" t="s">
        <v>1</v>
      </c>
    </row>
    <row r="11" spans="1:8" ht="24.95" customHeight="1" x14ac:dyDescent="0.15">
      <c r="A11" s="81">
        <v>4</v>
      </c>
      <c r="B11" s="770" t="s">
        <v>262</v>
      </c>
      <c r="C11" s="771"/>
      <c r="D11" s="771"/>
      <c r="E11" s="771"/>
      <c r="F11" s="771"/>
      <c r="G11" s="772"/>
      <c r="H11" s="189" t="s">
        <v>1</v>
      </c>
    </row>
    <row r="12" spans="1:8" ht="24.95" customHeight="1" x14ac:dyDescent="0.15">
      <c r="A12" s="81">
        <v>5</v>
      </c>
      <c r="B12" s="770" t="s">
        <v>263</v>
      </c>
      <c r="C12" s="771"/>
      <c r="D12" s="771"/>
      <c r="E12" s="771"/>
      <c r="F12" s="771"/>
      <c r="G12" s="772"/>
      <c r="H12" s="189" t="s">
        <v>1</v>
      </c>
    </row>
    <row r="13" spans="1:8" ht="24.95" customHeight="1" x14ac:dyDescent="0.15">
      <c r="A13" s="81">
        <v>6</v>
      </c>
      <c r="B13" s="770" t="s">
        <v>264</v>
      </c>
      <c r="C13" s="771"/>
      <c r="D13" s="771"/>
      <c r="E13" s="771"/>
      <c r="F13" s="771"/>
      <c r="G13" s="772"/>
      <c r="H13" s="189" t="s">
        <v>1</v>
      </c>
    </row>
    <row r="14" spans="1:8" ht="24.95" customHeight="1" x14ac:dyDescent="0.15">
      <c r="A14" s="81">
        <v>7</v>
      </c>
      <c r="B14" s="770" t="s">
        <v>264</v>
      </c>
      <c r="C14" s="771"/>
      <c r="D14" s="771"/>
      <c r="E14" s="771"/>
      <c r="F14" s="771"/>
      <c r="G14" s="772"/>
      <c r="H14" s="189" t="s">
        <v>1</v>
      </c>
    </row>
    <row r="15" spans="1:8" ht="50.1" customHeight="1" x14ac:dyDescent="0.15">
      <c r="A15" s="81"/>
      <c r="B15" s="384"/>
      <c r="C15" s="385"/>
      <c r="D15" s="385"/>
      <c r="E15" s="385"/>
      <c r="F15" s="385"/>
      <c r="G15" s="773"/>
      <c r="H15" s="82"/>
    </row>
    <row r="16" spans="1:8" ht="27.95" customHeight="1" x14ac:dyDescent="0.15">
      <c r="A16" s="765" t="s">
        <v>265</v>
      </c>
      <c r="B16" s="647"/>
      <c r="C16" s="647"/>
      <c r="D16" s="647"/>
      <c r="E16" s="647"/>
      <c r="F16" s="647"/>
      <c r="G16" s="647"/>
      <c r="H16" s="766"/>
    </row>
    <row r="17" spans="1:8" ht="27.95" customHeight="1" x14ac:dyDescent="0.15">
      <c r="A17" s="135"/>
      <c r="B17" s="140"/>
      <c r="C17" s="140"/>
      <c r="D17" s="140"/>
      <c r="E17" s="140"/>
      <c r="F17" s="140"/>
      <c r="G17" s="71"/>
      <c r="H17" s="136"/>
    </row>
    <row r="18" spans="1:8" ht="27.95" customHeight="1" x14ac:dyDescent="0.15">
      <c r="A18" s="135"/>
      <c r="B18" s="140"/>
      <c r="C18" s="140"/>
      <c r="D18" s="140"/>
      <c r="E18" s="140"/>
      <c r="F18" s="140"/>
      <c r="G18" s="71"/>
      <c r="H18" s="136"/>
    </row>
    <row r="19" spans="1:8" ht="27.95" customHeight="1" thickBot="1" x14ac:dyDescent="0.2">
      <c r="A19" s="137"/>
      <c r="B19" s="141"/>
      <c r="C19" s="141"/>
      <c r="D19" s="141"/>
      <c r="E19" s="141"/>
      <c r="F19" s="141"/>
      <c r="G19" s="138"/>
      <c r="H19" s="139"/>
    </row>
    <row r="20" spans="1:8" ht="27.95" customHeight="1" x14ac:dyDescent="0.15">
      <c r="A20" s="140"/>
      <c r="B20" s="140"/>
      <c r="C20" s="140"/>
      <c r="D20" s="140"/>
      <c r="E20" s="140"/>
      <c r="F20" s="140"/>
      <c r="G20" s="71"/>
      <c r="H20" s="140"/>
    </row>
    <row r="21" spans="1:8" x14ac:dyDescent="0.15">
      <c r="B21" t="s">
        <v>287</v>
      </c>
    </row>
    <row r="22" spans="1:8" x14ac:dyDescent="0.15">
      <c r="B22" s="761" t="s">
        <v>286</v>
      </c>
      <c r="C22" s="762"/>
      <c r="D22" s="142" t="s">
        <v>266</v>
      </c>
      <c r="E22" s="142" t="s">
        <v>267</v>
      </c>
      <c r="F22" s="142" t="s">
        <v>268</v>
      </c>
    </row>
    <row r="23" spans="1:8" x14ac:dyDescent="0.15">
      <c r="B23" s="758" t="s">
        <v>269</v>
      </c>
      <c r="C23" s="759"/>
      <c r="D23" s="144" t="s">
        <v>275</v>
      </c>
      <c r="E23" s="144" t="s">
        <v>523</v>
      </c>
      <c r="F23" s="143" t="s">
        <v>524</v>
      </c>
    </row>
    <row r="24" spans="1:8" x14ac:dyDescent="0.15">
      <c r="B24" s="758" t="s">
        <v>270</v>
      </c>
      <c r="C24" s="759"/>
      <c r="D24" s="144" t="s">
        <v>271</v>
      </c>
      <c r="E24" s="144" t="s">
        <v>272</v>
      </c>
      <c r="F24" s="143">
        <v>1105080056</v>
      </c>
    </row>
    <row r="25" spans="1:8" x14ac:dyDescent="0.15">
      <c r="B25" s="758" t="s">
        <v>270</v>
      </c>
      <c r="C25" s="759"/>
      <c r="D25" s="145" t="s">
        <v>273</v>
      </c>
      <c r="E25" s="145" t="s">
        <v>346</v>
      </c>
      <c r="F25" s="146">
        <v>170538276</v>
      </c>
    </row>
    <row r="26" spans="1:8" ht="25.5" customHeight="1" x14ac:dyDescent="0.15">
      <c r="B26" s="758" t="s">
        <v>274</v>
      </c>
      <c r="C26" s="759"/>
      <c r="D26" s="145" t="s">
        <v>275</v>
      </c>
      <c r="E26" s="145" t="s">
        <v>276</v>
      </c>
      <c r="F26" s="146" t="s">
        <v>277</v>
      </c>
    </row>
    <row r="27" spans="1:8" ht="25.5" customHeight="1" x14ac:dyDescent="0.15">
      <c r="B27" s="310" t="s">
        <v>278</v>
      </c>
      <c r="C27" s="312"/>
      <c r="D27" s="145" t="s">
        <v>275</v>
      </c>
      <c r="E27" s="145" t="s">
        <v>279</v>
      </c>
      <c r="F27" s="147" t="s">
        <v>280</v>
      </c>
    </row>
    <row r="28" spans="1:8" ht="25.5" customHeight="1" x14ac:dyDescent="0.15">
      <c r="B28" s="310" t="s">
        <v>281</v>
      </c>
      <c r="C28" s="312"/>
      <c r="D28" s="148" t="s">
        <v>282</v>
      </c>
      <c r="E28" s="145">
        <v>2235</v>
      </c>
      <c r="F28" s="146">
        <v>618104</v>
      </c>
    </row>
    <row r="29" spans="1:8" ht="25.5" customHeight="1" x14ac:dyDescent="0.15">
      <c r="B29" s="758" t="s">
        <v>283</v>
      </c>
      <c r="C29" s="759"/>
      <c r="D29" s="145" t="s">
        <v>275</v>
      </c>
      <c r="E29" s="144" t="s">
        <v>284</v>
      </c>
      <c r="F29" s="143" t="s">
        <v>285</v>
      </c>
    </row>
  </sheetData>
  <mergeCells count="20">
    <mergeCell ref="B22:C22"/>
    <mergeCell ref="B23:C23"/>
    <mergeCell ref="A4:H4"/>
    <mergeCell ref="A6:H6"/>
    <mergeCell ref="A7:H7"/>
    <mergeCell ref="A16:H16"/>
    <mergeCell ref="B8:G8"/>
    <mergeCell ref="B10:G10"/>
    <mergeCell ref="B9:G9"/>
    <mergeCell ref="B11:G11"/>
    <mergeCell ref="B12:G12"/>
    <mergeCell ref="B15:G15"/>
    <mergeCell ref="B13:G13"/>
    <mergeCell ref="B14:G14"/>
    <mergeCell ref="B26:C26"/>
    <mergeCell ref="B27:C27"/>
    <mergeCell ref="B28:C28"/>
    <mergeCell ref="B29:C29"/>
    <mergeCell ref="B24:C24"/>
    <mergeCell ref="B25:C25"/>
  </mergeCells>
  <phoneticPr fontId="2"/>
  <pageMargins left="0.78740157480314965" right="0" top="0.74803149606299213" bottom="0.74803149606299213" header="0.31496062992125984" footer="0.31496062992125984"/>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82C79-50B0-4EDE-B047-20C13947A9B6}">
  <dimension ref="A1:BF78"/>
  <sheetViews>
    <sheetView tabSelected="1" view="pageBreakPreview" topLeftCell="A44" zoomScaleNormal="40" zoomScaleSheetLayoutView="100" workbookViewId="0">
      <selection activeCell="B33" sqref="B33:G33"/>
    </sheetView>
  </sheetViews>
  <sheetFormatPr defaultColWidth="9" defaultRowHeight="13.5" x14ac:dyDescent="0.15"/>
  <cols>
    <col min="1" max="47" width="1.625" style="231" customWidth="1"/>
    <col min="48" max="48" width="1.125" style="231" customWidth="1"/>
    <col min="49" max="49" width="1.25" style="231" customWidth="1"/>
    <col min="50" max="60" width="1.625" style="231" customWidth="1"/>
    <col min="61" max="16384" width="9" style="231"/>
  </cols>
  <sheetData>
    <row r="1" spans="1:58" ht="13.5" customHeight="1" x14ac:dyDescent="0.15">
      <c r="A1" s="1033" t="s">
        <v>390</v>
      </c>
      <c r="B1" s="1034"/>
      <c r="C1" s="1034"/>
      <c r="D1" s="1034"/>
      <c r="E1" s="1034"/>
      <c r="F1" s="1034"/>
      <c r="G1" s="1034"/>
      <c r="H1" s="1034"/>
      <c r="I1" s="1034"/>
      <c r="J1" s="1034"/>
      <c r="K1" s="1034"/>
      <c r="L1" s="1034"/>
      <c r="M1" s="1034"/>
      <c r="N1" s="1034"/>
      <c r="O1" s="1034"/>
      <c r="P1" s="1034"/>
      <c r="Q1" s="1034"/>
      <c r="R1" s="1034"/>
      <c r="S1" s="1034"/>
      <c r="T1" s="1034"/>
      <c r="U1" s="1034"/>
      <c r="V1" s="1034"/>
      <c r="W1" s="1034"/>
      <c r="X1" s="1034"/>
      <c r="Y1" s="1034"/>
      <c r="Z1" s="1034"/>
      <c r="AA1" s="1034"/>
      <c r="AB1" s="1034"/>
      <c r="AC1" s="1034"/>
      <c r="AD1" s="1034"/>
      <c r="AE1" s="1034"/>
      <c r="AF1" s="1034"/>
      <c r="AG1" s="1034"/>
      <c r="AH1" s="1034"/>
      <c r="AI1" s="1034"/>
      <c r="AJ1" s="1034"/>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5"/>
    </row>
    <row r="2" spans="1:58" ht="13.5" customHeight="1" x14ac:dyDescent="0.15">
      <c r="A2" s="1036"/>
      <c r="B2" s="1037"/>
      <c r="C2" s="1037"/>
      <c r="D2" s="1037"/>
      <c r="E2" s="1037"/>
      <c r="F2" s="1037"/>
      <c r="G2" s="1037"/>
      <c r="H2" s="1037"/>
      <c r="I2" s="1037"/>
      <c r="J2" s="1037"/>
      <c r="K2" s="1037"/>
      <c r="L2" s="1037"/>
      <c r="M2" s="1037"/>
      <c r="N2" s="1037"/>
      <c r="O2" s="1037"/>
      <c r="P2" s="1037"/>
      <c r="Q2" s="1037"/>
      <c r="R2" s="1037"/>
      <c r="S2" s="1037"/>
      <c r="T2" s="1037"/>
      <c r="U2" s="1037"/>
      <c r="V2" s="1037"/>
      <c r="W2" s="1037"/>
      <c r="X2" s="1037"/>
      <c r="Y2" s="1037"/>
      <c r="Z2" s="1037"/>
      <c r="AA2" s="1037"/>
      <c r="AB2" s="1037"/>
      <c r="AC2" s="1037"/>
      <c r="AD2" s="1037"/>
      <c r="AE2" s="1037"/>
      <c r="AF2" s="1037"/>
      <c r="AG2" s="1037"/>
      <c r="AH2" s="1037"/>
      <c r="AI2" s="1037"/>
      <c r="AJ2" s="1037"/>
      <c r="AK2" s="1037"/>
      <c r="AL2" s="1037"/>
      <c r="AM2" s="1037"/>
      <c r="AN2" s="1037"/>
      <c r="AO2" s="1037"/>
      <c r="AP2" s="1037"/>
      <c r="AQ2" s="1037"/>
      <c r="AR2" s="1037"/>
      <c r="AS2" s="1037"/>
      <c r="AT2" s="1037"/>
      <c r="AU2" s="1037"/>
      <c r="AV2" s="1037"/>
      <c r="AW2" s="1037"/>
      <c r="AX2" s="1037"/>
      <c r="AY2" s="1037"/>
      <c r="AZ2" s="1037"/>
      <c r="BA2" s="1037"/>
      <c r="BB2" s="1037"/>
      <c r="BC2" s="1037"/>
      <c r="BD2" s="1037"/>
      <c r="BE2" s="1037"/>
      <c r="BF2" s="1038"/>
    </row>
    <row r="3" spans="1:58" ht="11.45" customHeight="1" x14ac:dyDescent="0.15">
      <c r="A3" s="1036"/>
      <c r="B3" s="1037"/>
      <c r="C3" s="1037"/>
      <c r="D3" s="1037"/>
      <c r="E3" s="1037"/>
      <c r="F3" s="1037"/>
      <c r="G3" s="1037"/>
      <c r="H3" s="1037"/>
      <c r="I3" s="1037"/>
      <c r="J3" s="1037"/>
      <c r="K3" s="1037"/>
      <c r="L3" s="1037"/>
      <c r="M3" s="1037"/>
      <c r="N3" s="1037"/>
      <c r="O3" s="1037"/>
      <c r="P3" s="1037"/>
      <c r="Q3" s="1037"/>
      <c r="R3" s="1037"/>
      <c r="S3" s="1037"/>
      <c r="T3" s="1037"/>
      <c r="U3" s="1037"/>
      <c r="V3" s="1037"/>
      <c r="W3" s="1037"/>
      <c r="X3" s="1037"/>
      <c r="Y3" s="1037"/>
      <c r="Z3" s="1037"/>
      <c r="AA3" s="1037"/>
      <c r="AB3" s="1037"/>
      <c r="AC3" s="1037"/>
      <c r="AD3" s="1037"/>
      <c r="AE3" s="1037"/>
      <c r="AF3" s="1037"/>
      <c r="AG3" s="1037"/>
      <c r="AH3" s="1037"/>
      <c r="AI3" s="1037"/>
      <c r="AJ3" s="1037"/>
      <c r="AK3" s="1037"/>
      <c r="AL3" s="1037"/>
      <c r="AM3" s="1037"/>
      <c r="AN3" s="1037"/>
      <c r="AO3" s="1037"/>
      <c r="AP3" s="1037"/>
      <c r="AQ3" s="1037"/>
      <c r="AR3" s="1037"/>
      <c r="AS3" s="1037"/>
      <c r="AT3" s="1037"/>
      <c r="AU3" s="1037"/>
      <c r="AV3" s="1037"/>
      <c r="AW3" s="1037"/>
      <c r="AX3" s="1037"/>
      <c r="AY3" s="1037"/>
      <c r="AZ3" s="1037"/>
      <c r="BA3" s="1037"/>
      <c r="BB3" s="1037"/>
      <c r="BC3" s="1037"/>
      <c r="BD3" s="1037"/>
      <c r="BE3" s="1037"/>
      <c r="BF3" s="1038"/>
    </row>
    <row r="4" spans="1:58" x14ac:dyDescent="0.15">
      <c r="A4" s="1039" t="s">
        <v>391</v>
      </c>
      <c r="B4" s="1040"/>
      <c r="C4" s="1040"/>
      <c r="D4" s="1040"/>
      <c r="E4" s="1040"/>
      <c r="F4" s="1040"/>
      <c r="G4" s="1040"/>
      <c r="H4" s="1040"/>
      <c r="I4" s="1040"/>
      <c r="J4" s="1040"/>
      <c r="K4" s="1040"/>
      <c r="L4" s="1040"/>
      <c r="M4" s="1040"/>
      <c r="N4" s="1040"/>
      <c r="O4" s="1040"/>
      <c r="P4" s="1040"/>
      <c r="Q4" s="1040"/>
      <c r="R4" s="1040"/>
      <c r="S4" s="1040"/>
      <c r="T4" s="1040"/>
      <c r="U4" s="1040"/>
      <c r="V4" s="1040"/>
      <c r="W4" s="1040"/>
      <c r="X4" s="1040"/>
      <c r="Y4" s="1040"/>
      <c r="Z4" s="1040"/>
      <c r="AA4" s="1040"/>
      <c r="AB4" s="1040"/>
      <c r="AC4" s="1040"/>
      <c r="AD4" s="1040"/>
      <c r="AE4" s="1040"/>
      <c r="AF4" s="1040"/>
      <c r="AG4" s="1040"/>
      <c r="AH4" s="1040"/>
      <c r="AI4" s="1040"/>
      <c r="AJ4" s="1040"/>
      <c r="AK4" s="1040"/>
      <c r="AL4" s="1040"/>
      <c r="AM4" s="1040"/>
      <c r="AN4" s="1040"/>
      <c r="AO4" s="1040"/>
      <c r="AP4" s="1040"/>
      <c r="AQ4" s="1040"/>
      <c r="AR4" s="1040"/>
      <c r="AS4" s="1040"/>
      <c r="AT4" s="1040"/>
      <c r="AU4" s="1040"/>
      <c r="AV4" s="1040"/>
      <c r="AW4" s="1040"/>
      <c r="AX4" s="1040"/>
      <c r="AY4" s="1040"/>
      <c r="AZ4" s="1040"/>
      <c r="BA4" s="1040"/>
      <c r="BB4" s="1040"/>
      <c r="BC4" s="1040"/>
      <c r="BD4" s="1040"/>
      <c r="BE4" s="1040"/>
      <c r="BF4" s="1041"/>
    </row>
    <row r="5" spans="1:58" ht="9.9499999999999993" customHeight="1" x14ac:dyDescent="0.15">
      <c r="A5" s="1042" t="s">
        <v>392</v>
      </c>
      <c r="B5" s="1043"/>
      <c r="C5" s="1043"/>
      <c r="D5" s="1043"/>
      <c r="E5" s="1043"/>
      <c r="F5" s="1043"/>
      <c r="G5" s="1043"/>
      <c r="H5" s="1043"/>
      <c r="I5" s="1043"/>
      <c r="J5" s="1043"/>
      <c r="K5" s="1043"/>
      <c r="L5" s="1043"/>
      <c r="M5" s="1043"/>
      <c r="N5" s="1043"/>
      <c r="O5" s="1043"/>
      <c r="P5" s="1043"/>
      <c r="Q5" s="1043"/>
      <c r="R5" s="1043"/>
      <c r="S5" s="1043"/>
      <c r="T5" s="1043"/>
      <c r="U5" s="1043"/>
      <c r="V5" s="1043"/>
      <c r="W5" s="1043"/>
      <c r="X5" s="1043"/>
      <c r="Y5" s="1043"/>
      <c r="Z5" s="1043"/>
      <c r="AA5" s="1043"/>
      <c r="AB5" s="1043"/>
      <c r="AC5" s="1043"/>
      <c r="AD5" s="907" t="s">
        <v>118</v>
      </c>
      <c r="AE5" s="907"/>
      <c r="AF5" s="907"/>
      <c r="AG5" s="907"/>
      <c r="AH5" s="232" t="s">
        <v>393</v>
      </c>
      <c r="AI5" s="907"/>
      <c r="AJ5" s="907"/>
      <c r="AK5" s="907"/>
      <c r="AL5" s="907"/>
      <c r="AM5" s="907"/>
      <c r="AN5" s="907"/>
      <c r="AO5" s="907"/>
      <c r="AP5" s="907"/>
      <c r="AQ5" s="907"/>
      <c r="AR5" s="907"/>
      <c r="AS5" s="232"/>
      <c r="AT5" s="232"/>
      <c r="AU5" s="1046">
        <v>45988</v>
      </c>
      <c r="AV5" s="1046"/>
      <c r="AW5" s="1046"/>
      <c r="AX5" s="1046"/>
      <c r="AY5" s="1046"/>
      <c r="AZ5" s="1046"/>
      <c r="BA5" s="1046"/>
      <c r="BB5" s="1046"/>
      <c r="BC5" s="1046"/>
      <c r="BD5" s="1046"/>
      <c r="BE5" s="1046"/>
      <c r="BF5" s="1047"/>
    </row>
    <row r="6" spans="1:58" ht="9.9499999999999993" customHeight="1" x14ac:dyDescent="0.15">
      <c r="A6" s="1044"/>
      <c r="B6" s="1045"/>
      <c r="C6" s="1045"/>
      <c r="D6" s="1045"/>
      <c r="E6" s="1045"/>
      <c r="F6" s="1045"/>
      <c r="G6" s="1045"/>
      <c r="H6" s="1045"/>
      <c r="I6" s="1045"/>
      <c r="J6" s="1045"/>
      <c r="K6" s="1045"/>
      <c r="L6" s="1045"/>
      <c r="M6" s="1045"/>
      <c r="N6" s="1045"/>
      <c r="O6" s="1045"/>
      <c r="P6" s="1045"/>
      <c r="Q6" s="1045"/>
      <c r="R6" s="1045"/>
      <c r="S6" s="1045"/>
      <c r="T6" s="1045"/>
      <c r="U6" s="1045"/>
      <c r="V6" s="1045"/>
      <c r="W6" s="1045"/>
      <c r="X6" s="1045"/>
      <c r="Y6" s="1045"/>
      <c r="Z6" s="1045"/>
      <c r="AA6" s="1045"/>
      <c r="AB6" s="1045"/>
      <c r="AC6" s="1045"/>
      <c r="AD6" s="969"/>
      <c r="AE6" s="969"/>
      <c r="AF6" s="969"/>
      <c r="AG6" s="969"/>
      <c r="AH6" s="233"/>
      <c r="AI6" s="969"/>
      <c r="AJ6" s="969"/>
      <c r="AK6" s="969"/>
      <c r="AL6" s="969"/>
      <c r="AM6" s="969"/>
      <c r="AN6" s="969"/>
      <c r="AO6" s="969"/>
      <c r="AP6" s="969"/>
      <c r="AQ6" s="969"/>
      <c r="AR6" s="969"/>
      <c r="AS6" s="233"/>
      <c r="AT6" s="233"/>
      <c r="AU6" s="1048"/>
      <c r="AV6" s="1048"/>
      <c r="AW6" s="1048"/>
      <c r="AX6" s="1048"/>
      <c r="AY6" s="1048"/>
      <c r="AZ6" s="1048"/>
      <c r="BA6" s="1048"/>
      <c r="BB6" s="1048"/>
      <c r="BC6" s="1048"/>
      <c r="BD6" s="1048"/>
      <c r="BE6" s="1048"/>
      <c r="BF6" s="1049"/>
    </row>
    <row r="7" spans="1:58" ht="9.9499999999999993" customHeight="1" x14ac:dyDescent="0.15">
      <c r="A7" s="941" t="s">
        <v>394</v>
      </c>
      <c r="B7" s="942"/>
      <c r="C7" s="942"/>
      <c r="D7" s="942"/>
      <c r="E7" s="942"/>
      <c r="F7" s="942"/>
      <c r="G7" s="942"/>
      <c r="H7" s="234"/>
      <c r="I7" s="234"/>
      <c r="J7" s="234"/>
      <c r="K7" s="234"/>
      <c r="L7" s="234"/>
      <c r="M7" s="234"/>
      <c r="N7" s="234"/>
      <c r="O7" s="234"/>
      <c r="P7" s="234"/>
      <c r="Q7" s="234"/>
      <c r="R7" s="234"/>
      <c r="S7" s="234"/>
      <c r="T7" s="234"/>
      <c r="U7" s="234"/>
      <c r="V7" s="234"/>
      <c r="W7" s="234"/>
      <c r="X7" s="234"/>
      <c r="Y7" s="234"/>
      <c r="Z7" s="234"/>
      <c r="AA7" s="234"/>
      <c r="AB7" s="235"/>
      <c r="AC7" s="1050" t="s">
        <v>395</v>
      </c>
      <c r="AD7" s="1051"/>
      <c r="AE7" s="1051"/>
      <c r="AF7" s="1051"/>
      <c r="AG7" s="1051"/>
      <c r="AH7" s="1052"/>
      <c r="AI7" s="1059" t="s">
        <v>396</v>
      </c>
      <c r="AJ7" s="1060"/>
      <c r="AK7" s="1060"/>
      <c r="AL7" s="1060"/>
      <c r="AM7" s="1060"/>
      <c r="AN7" s="1060"/>
      <c r="AO7" s="1060"/>
      <c r="AP7" s="1060"/>
      <c r="AQ7" s="1060"/>
      <c r="AR7" s="1060"/>
      <c r="AS7" s="1060"/>
      <c r="AT7" s="1060"/>
      <c r="AU7" s="1060"/>
      <c r="AV7" s="1060"/>
      <c r="AW7" s="1060"/>
      <c r="AX7" s="1060"/>
      <c r="AY7" s="1060"/>
      <c r="AZ7" s="1060"/>
      <c r="BA7" s="1061"/>
      <c r="BB7" s="1051"/>
      <c r="BC7" s="1051"/>
      <c r="BD7" s="1051"/>
      <c r="BE7" s="1051"/>
      <c r="BF7" s="1052"/>
    </row>
    <row r="8" spans="1:58" ht="9.9499999999999993" customHeight="1" x14ac:dyDescent="0.15">
      <c r="A8" s="774"/>
      <c r="B8" s="775"/>
      <c r="C8" s="775"/>
      <c r="D8" s="775"/>
      <c r="E8" s="775"/>
      <c r="F8" s="775"/>
      <c r="G8" s="775"/>
      <c r="H8" s="236"/>
      <c r="I8" s="236"/>
      <c r="J8" s="236"/>
      <c r="K8" s="236"/>
      <c r="L8" s="236"/>
      <c r="M8" s="236"/>
      <c r="N8" s="236"/>
      <c r="O8" s="236"/>
      <c r="P8" s="236"/>
      <c r="Q8" s="236"/>
      <c r="R8" s="236"/>
      <c r="S8" s="236"/>
      <c r="T8" s="236"/>
      <c r="U8" s="236"/>
      <c r="V8" s="236"/>
      <c r="W8" s="236"/>
      <c r="X8" s="236"/>
      <c r="Y8" s="236"/>
      <c r="Z8" s="236"/>
      <c r="AA8" s="236"/>
      <c r="AB8" s="237"/>
      <c r="AC8" s="1053"/>
      <c r="AD8" s="1054"/>
      <c r="AE8" s="1054"/>
      <c r="AF8" s="1054"/>
      <c r="AG8" s="1054"/>
      <c r="AH8" s="1055"/>
      <c r="AI8" s="1062"/>
      <c r="AJ8" s="1063"/>
      <c r="AK8" s="1063"/>
      <c r="AL8" s="1063"/>
      <c r="AM8" s="1063"/>
      <c r="AN8" s="1063"/>
      <c r="AO8" s="1063"/>
      <c r="AP8" s="1063"/>
      <c r="AQ8" s="1063"/>
      <c r="AR8" s="1063"/>
      <c r="AS8" s="1063"/>
      <c r="AT8" s="1063"/>
      <c r="AU8" s="1063"/>
      <c r="AV8" s="1063"/>
      <c r="AW8" s="1063"/>
      <c r="AX8" s="1063"/>
      <c r="AY8" s="1063"/>
      <c r="AZ8" s="1063"/>
      <c r="BA8" s="1064"/>
      <c r="BB8" s="1054"/>
      <c r="BC8" s="1054"/>
      <c r="BD8" s="1054"/>
      <c r="BE8" s="1054"/>
      <c r="BF8" s="1055"/>
    </row>
    <row r="9" spans="1:58" ht="9.9499999999999993" customHeight="1" x14ac:dyDescent="0.15">
      <c r="A9" s="1065" t="s">
        <v>397</v>
      </c>
      <c r="B9" s="1066"/>
      <c r="C9" s="1066"/>
      <c r="D9" s="1066"/>
      <c r="E9" s="1066"/>
      <c r="F9" s="1066"/>
      <c r="G9" s="1066"/>
      <c r="H9" s="1066"/>
      <c r="I9" s="1066"/>
      <c r="J9" s="1066"/>
      <c r="K9" s="1066"/>
      <c r="L9" s="1066"/>
      <c r="M9" s="1066"/>
      <c r="N9" s="1066"/>
      <c r="O9" s="1066"/>
      <c r="P9" s="1066"/>
      <c r="Q9" s="1066"/>
      <c r="R9" s="1066"/>
      <c r="S9" s="1066"/>
      <c r="T9" s="1066"/>
      <c r="U9" s="1066"/>
      <c r="V9" s="1066"/>
      <c r="W9" s="1066"/>
      <c r="X9" s="1066"/>
      <c r="Y9" s="1066"/>
      <c r="Z9" s="1069" t="s">
        <v>398</v>
      </c>
      <c r="AA9" s="1069"/>
      <c r="AB9" s="1070"/>
      <c r="AC9" s="1053"/>
      <c r="AD9" s="1054"/>
      <c r="AE9" s="1054"/>
      <c r="AF9" s="1054"/>
      <c r="AG9" s="1054"/>
      <c r="AH9" s="1055"/>
      <c r="AI9" s="1073" t="s">
        <v>399</v>
      </c>
      <c r="AJ9" s="1074"/>
      <c r="AK9" s="1074"/>
      <c r="AL9" s="1074"/>
      <c r="AM9" s="1074"/>
      <c r="AN9" s="1074"/>
      <c r="AO9" s="1074"/>
      <c r="AP9" s="1074"/>
      <c r="AQ9" s="1074"/>
      <c r="AR9" s="1074"/>
      <c r="AS9" s="1074"/>
      <c r="AT9" s="1074"/>
      <c r="AU9" s="1074"/>
      <c r="AV9" s="1074"/>
      <c r="AW9" s="1074"/>
      <c r="AX9" s="1074"/>
      <c r="AY9" s="1074"/>
      <c r="AZ9" s="1074"/>
      <c r="BA9" s="1075"/>
      <c r="BB9" s="1054"/>
      <c r="BC9" s="1054"/>
      <c r="BD9" s="1054"/>
      <c r="BE9" s="1054"/>
      <c r="BF9" s="1055"/>
    </row>
    <row r="10" spans="1:58" ht="9.9499999999999993" customHeight="1" x14ac:dyDescent="0.15">
      <c r="A10" s="1065"/>
      <c r="B10" s="1066"/>
      <c r="C10" s="1066"/>
      <c r="D10" s="1066"/>
      <c r="E10" s="1066"/>
      <c r="F10" s="1066"/>
      <c r="G10" s="1066"/>
      <c r="H10" s="1066"/>
      <c r="I10" s="1066"/>
      <c r="J10" s="1066"/>
      <c r="K10" s="1066"/>
      <c r="L10" s="1066"/>
      <c r="M10" s="1066"/>
      <c r="N10" s="1066"/>
      <c r="O10" s="1066"/>
      <c r="P10" s="1066"/>
      <c r="Q10" s="1066"/>
      <c r="R10" s="1066"/>
      <c r="S10" s="1066"/>
      <c r="T10" s="1066"/>
      <c r="U10" s="1066"/>
      <c r="V10" s="1066"/>
      <c r="W10" s="1066"/>
      <c r="X10" s="1066"/>
      <c r="Y10" s="1066"/>
      <c r="Z10" s="1069"/>
      <c r="AA10" s="1069"/>
      <c r="AB10" s="1070"/>
      <c r="AC10" s="1053"/>
      <c r="AD10" s="1054"/>
      <c r="AE10" s="1054"/>
      <c r="AF10" s="1054"/>
      <c r="AG10" s="1054"/>
      <c r="AH10" s="1055"/>
      <c r="AI10" s="1076"/>
      <c r="AJ10" s="1077"/>
      <c r="AK10" s="1077"/>
      <c r="AL10" s="1077"/>
      <c r="AM10" s="1077"/>
      <c r="AN10" s="1077"/>
      <c r="AO10" s="1077"/>
      <c r="AP10" s="1077"/>
      <c r="AQ10" s="1077"/>
      <c r="AR10" s="1077"/>
      <c r="AS10" s="1077"/>
      <c r="AT10" s="1077"/>
      <c r="AU10" s="1077"/>
      <c r="AV10" s="1077"/>
      <c r="AW10" s="1077"/>
      <c r="AX10" s="1077"/>
      <c r="AY10" s="1077"/>
      <c r="AZ10" s="1077"/>
      <c r="BA10" s="1078"/>
      <c r="BB10" s="1054"/>
      <c r="BC10" s="1054"/>
      <c r="BD10" s="1054"/>
      <c r="BE10" s="1054"/>
      <c r="BF10" s="1055"/>
    </row>
    <row r="11" spans="1:58" ht="9.9499999999999993" customHeight="1" x14ac:dyDescent="0.15">
      <c r="A11" s="1065"/>
      <c r="B11" s="1066"/>
      <c r="C11" s="1066"/>
      <c r="D11" s="1066"/>
      <c r="E11" s="1066"/>
      <c r="F11" s="1066"/>
      <c r="G11" s="1066"/>
      <c r="H11" s="1066"/>
      <c r="I11" s="1066"/>
      <c r="J11" s="1066"/>
      <c r="K11" s="1066"/>
      <c r="L11" s="1066"/>
      <c r="M11" s="1066"/>
      <c r="N11" s="1066"/>
      <c r="O11" s="1066"/>
      <c r="P11" s="1066"/>
      <c r="Q11" s="1066"/>
      <c r="R11" s="1066"/>
      <c r="S11" s="1066"/>
      <c r="T11" s="1066"/>
      <c r="U11" s="1066"/>
      <c r="V11" s="1066"/>
      <c r="W11" s="1066"/>
      <c r="X11" s="1066"/>
      <c r="Y11" s="1066"/>
      <c r="Z11" s="1069"/>
      <c r="AA11" s="1069"/>
      <c r="AB11" s="1070"/>
      <c r="AC11" s="1053"/>
      <c r="AD11" s="1054"/>
      <c r="AE11" s="1054"/>
      <c r="AF11" s="1054"/>
      <c r="AG11" s="1054"/>
      <c r="AH11" s="1055"/>
      <c r="AI11" s="1062" t="s">
        <v>400</v>
      </c>
      <c r="AJ11" s="1063"/>
      <c r="AK11" s="1063"/>
      <c r="AL11" s="1063"/>
      <c r="AM11" s="1081"/>
      <c r="AN11" s="1081"/>
      <c r="AO11" s="1081"/>
      <c r="AP11" s="1081"/>
      <c r="AQ11" s="1081"/>
      <c r="AR11" s="1081"/>
      <c r="AS11" s="1081"/>
      <c r="AT11" s="1081"/>
      <c r="AU11" s="1081"/>
      <c r="AV11" s="1081"/>
      <c r="AW11" s="1081"/>
      <c r="AX11" s="1081"/>
      <c r="AY11" s="1081"/>
      <c r="AZ11" s="1081"/>
      <c r="BA11" s="1082"/>
      <c r="BB11" s="1054"/>
      <c r="BC11" s="1054"/>
      <c r="BD11" s="1054"/>
      <c r="BE11" s="1054"/>
      <c r="BF11" s="1055"/>
    </row>
    <row r="12" spans="1:58" ht="9.9499999999999993" customHeight="1" x14ac:dyDescent="0.15">
      <c r="A12" s="1067"/>
      <c r="B12" s="1068"/>
      <c r="C12" s="1068"/>
      <c r="D12" s="1068"/>
      <c r="E12" s="1068"/>
      <c r="F12" s="1068"/>
      <c r="G12" s="1068"/>
      <c r="H12" s="1068"/>
      <c r="I12" s="1068"/>
      <c r="J12" s="1068"/>
      <c r="K12" s="1068"/>
      <c r="L12" s="1068"/>
      <c r="M12" s="1068"/>
      <c r="N12" s="1068"/>
      <c r="O12" s="1068"/>
      <c r="P12" s="1068"/>
      <c r="Q12" s="1068"/>
      <c r="R12" s="1068"/>
      <c r="S12" s="1068"/>
      <c r="T12" s="1068"/>
      <c r="U12" s="1068"/>
      <c r="V12" s="1068"/>
      <c r="W12" s="1068"/>
      <c r="X12" s="1068"/>
      <c r="Y12" s="1068"/>
      <c r="Z12" s="1071"/>
      <c r="AA12" s="1071"/>
      <c r="AB12" s="1072"/>
      <c r="AC12" s="1056"/>
      <c r="AD12" s="1057"/>
      <c r="AE12" s="1057"/>
      <c r="AF12" s="1057"/>
      <c r="AG12" s="1057"/>
      <c r="AH12" s="1058"/>
      <c r="AI12" s="1079"/>
      <c r="AJ12" s="1080"/>
      <c r="AK12" s="1080"/>
      <c r="AL12" s="1080"/>
      <c r="AM12" s="1083"/>
      <c r="AN12" s="1083"/>
      <c r="AO12" s="1083"/>
      <c r="AP12" s="1083"/>
      <c r="AQ12" s="1083"/>
      <c r="AR12" s="1083"/>
      <c r="AS12" s="1083"/>
      <c r="AT12" s="1083"/>
      <c r="AU12" s="1083"/>
      <c r="AV12" s="1083"/>
      <c r="AW12" s="1083"/>
      <c r="AX12" s="1083"/>
      <c r="AY12" s="1083"/>
      <c r="AZ12" s="1083"/>
      <c r="BA12" s="1084"/>
      <c r="BB12" s="1057"/>
      <c r="BC12" s="1057"/>
      <c r="BD12" s="1057"/>
      <c r="BE12" s="1057"/>
      <c r="BF12" s="1058"/>
    </row>
    <row r="13" spans="1:58" ht="9" customHeight="1" x14ac:dyDescent="0.15">
      <c r="A13" s="941" t="s">
        <v>401</v>
      </c>
      <c r="B13" s="942"/>
      <c r="C13" s="942"/>
      <c r="D13" s="943"/>
      <c r="E13" s="945" t="s">
        <v>402</v>
      </c>
      <c r="F13" s="942"/>
      <c r="G13" s="943"/>
      <c r="H13" s="1019" t="s">
        <v>403</v>
      </c>
      <c r="I13" s="1019"/>
      <c r="J13" s="1020"/>
      <c r="K13" s="941" t="s">
        <v>404</v>
      </c>
      <c r="L13" s="942"/>
      <c r="M13" s="942"/>
      <c r="N13" s="942"/>
      <c r="O13" s="942"/>
      <c r="P13" s="942"/>
      <c r="Q13" s="942"/>
      <c r="R13" s="942"/>
      <c r="S13" s="942"/>
      <c r="T13" s="942"/>
      <c r="U13" s="942"/>
      <c r="V13" s="942"/>
      <c r="W13" s="942"/>
      <c r="X13" s="942"/>
      <c r="Y13" s="942"/>
      <c r="Z13" s="942"/>
      <c r="AA13" s="942"/>
      <c r="AB13" s="942"/>
      <c r="AC13" s="942"/>
      <c r="AD13" s="942"/>
      <c r="AE13" s="942"/>
      <c r="AF13" s="942"/>
      <c r="AG13" s="942"/>
      <c r="AH13" s="946"/>
      <c r="AI13" s="1022" t="s">
        <v>405</v>
      </c>
      <c r="AJ13" s="1019"/>
      <c r="AK13" s="1019"/>
      <c r="AL13" s="1019"/>
      <c r="AM13" s="1019"/>
      <c r="AN13" s="1019"/>
      <c r="AO13" s="1019"/>
      <c r="AP13" s="1019"/>
      <c r="AQ13" s="1019"/>
      <c r="AR13" s="1019"/>
      <c r="AS13" s="1019"/>
      <c r="AT13" s="1019"/>
      <c r="AU13" s="1019"/>
      <c r="AV13" s="1019"/>
      <c r="AW13" s="1019"/>
      <c r="AX13" s="1019"/>
      <c r="AY13" s="1019"/>
      <c r="AZ13" s="1019"/>
      <c r="BA13" s="1019"/>
      <c r="BB13" s="1019"/>
      <c r="BC13" s="1019"/>
      <c r="BD13" s="1019"/>
      <c r="BE13" s="1019"/>
      <c r="BF13" s="1020"/>
    </row>
    <row r="14" spans="1:58" ht="9" customHeight="1" x14ac:dyDescent="0.15">
      <c r="A14" s="774"/>
      <c r="B14" s="775"/>
      <c r="C14" s="775"/>
      <c r="D14" s="930"/>
      <c r="E14" s="1017"/>
      <c r="F14" s="775"/>
      <c r="G14" s="930"/>
      <c r="H14" s="907"/>
      <c r="I14" s="907"/>
      <c r="J14" s="936"/>
      <c r="K14" s="788"/>
      <c r="L14" s="789"/>
      <c r="M14" s="789"/>
      <c r="N14" s="789"/>
      <c r="O14" s="789"/>
      <c r="P14" s="789"/>
      <c r="Q14" s="789"/>
      <c r="R14" s="789"/>
      <c r="S14" s="789"/>
      <c r="T14" s="789"/>
      <c r="U14" s="789"/>
      <c r="V14" s="789"/>
      <c r="W14" s="789"/>
      <c r="X14" s="789"/>
      <c r="Y14" s="789"/>
      <c r="Z14" s="789"/>
      <c r="AA14" s="789"/>
      <c r="AB14" s="789"/>
      <c r="AC14" s="789"/>
      <c r="AD14" s="789"/>
      <c r="AE14" s="789"/>
      <c r="AF14" s="789"/>
      <c r="AG14" s="789"/>
      <c r="AH14" s="978"/>
      <c r="AI14" s="961"/>
      <c r="AJ14" s="905"/>
      <c r="AK14" s="905"/>
      <c r="AL14" s="905"/>
      <c r="AM14" s="905"/>
      <c r="AN14" s="905"/>
      <c r="AO14" s="905"/>
      <c r="AP14" s="905"/>
      <c r="AQ14" s="905"/>
      <c r="AR14" s="905"/>
      <c r="AS14" s="905"/>
      <c r="AT14" s="905"/>
      <c r="AU14" s="905"/>
      <c r="AV14" s="905"/>
      <c r="AW14" s="905"/>
      <c r="AX14" s="905"/>
      <c r="AY14" s="905"/>
      <c r="AZ14" s="905"/>
      <c r="BA14" s="905"/>
      <c r="BB14" s="905"/>
      <c r="BC14" s="905"/>
      <c r="BD14" s="905"/>
      <c r="BE14" s="905"/>
      <c r="BF14" s="1021"/>
    </row>
    <row r="15" spans="1:58" ht="9" customHeight="1" x14ac:dyDescent="0.15">
      <c r="A15" s="774"/>
      <c r="B15" s="775"/>
      <c r="C15" s="775"/>
      <c r="D15" s="930"/>
      <c r="E15" s="1017"/>
      <c r="F15" s="775"/>
      <c r="G15" s="930"/>
      <c r="H15" s="907"/>
      <c r="I15" s="907"/>
      <c r="J15" s="936"/>
      <c r="K15" s="966" t="s">
        <v>406</v>
      </c>
      <c r="L15" s="907"/>
      <c r="M15" s="907"/>
      <c r="N15" s="907"/>
      <c r="O15" s="907"/>
      <c r="P15" s="907"/>
      <c r="Q15" s="907"/>
      <c r="R15" s="907"/>
      <c r="S15" s="967"/>
      <c r="T15" s="907" t="s">
        <v>407</v>
      </c>
      <c r="U15" s="907"/>
      <c r="V15" s="907"/>
      <c r="W15" s="907"/>
      <c r="X15" s="907"/>
      <c r="Y15" s="907"/>
      <c r="Z15" s="907"/>
      <c r="AA15" s="907"/>
      <c r="AB15" s="967"/>
      <c r="AC15" s="907" t="s">
        <v>408</v>
      </c>
      <c r="AD15" s="907"/>
      <c r="AE15" s="967"/>
      <c r="AF15" s="907" t="s">
        <v>409</v>
      </c>
      <c r="AG15" s="907"/>
      <c r="AH15" s="936"/>
      <c r="AI15" s="1023" t="s">
        <v>410</v>
      </c>
      <c r="AJ15" s="1024"/>
      <c r="AK15" s="1025"/>
      <c r="AL15" s="992">
        <v>45988</v>
      </c>
      <c r="AM15" s="949"/>
      <c r="AN15" s="949"/>
      <c r="AO15" s="949"/>
      <c r="AP15" s="949"/>
      <c r="AQ15" s="982"/>
      <c r="AR15" s="1093">
        <v>45882</v>
      </c>
      <c r="AS15" s="1094"/>
      <c r="AT15" s="1094"/>
      <c r="AU15" s="1094"/>
      <c r="AV15" s="1094"/>
      <c r="AW15" s="1095"/>
      <c r="AX15" s="775" t="s">
        <v>411</v>
      </c>
      <c r="AY15" s="775"/>
      <c r="AZ15" s="775"/>
      <c r="BA15" s="775"/>
      <c r="BB15" s="775"/>
      <c r="BC15" s="775"/>
      <c r="BD15" s="775"/>
      <c r="BE15" s="775"/>
      <c r="BF15" s="776"/>
    </row>
    <row r="16" spans="1:58" ht="9" customHeight="1" x14ac:dyDescent="0.15">
      <c r="A16" s="788"/>
      <c r="B16" s="789"/>
      <c r="C16" s="789"/>
      <c r="D16" s="981"/>
      <c r="E16" s="1018"/>
      <c r="F16" s="789"/>
      <c r="G16" s="981"/>
      <c r="H16" s="905"/>
      <c r="I16" s="905"/>
      <c r="J16" s="1021"/>
      <c r="K16" s="961"/>
      <c r="L16" s="905"/>
      <c r="M16" s="905"/>
      <c r="N16" s="905"/>
      <c r="O16" s="905"/>
      <c r="P16" s="905"/>
      <c r="Q16" s="905"/>
      <c r="R16" s="905"/>
      <c r="S16" s="906"/>
      <c r="T16" s="907"/>
      <c r="U16" s="907"/>
      <c r="V16" s="907"/>
      <c r="W16" s="907"/>
      <c r="X16" s="907"/>
      <c r="Y16" s="907"/>
      <c r="Z16" s="907"/>
      <c r="AA16" s="907"/>
      <c r="AB16" s="967"/>
      <c r="AC16" s="907"/>
      <c r="AD16" s="907"/>
      <c r="AE16" s="967"/>
      <c r="AF16" s="907"/>
      <c r="AG16" s="907"/>
      <c r="AH16" s="907"/>
      <c r="AI16" s="1026"/>
      <c r="AJ16" s="1027"/>
      <c r="AK16" s="1028"/>
      <c r="AL16" s="993"/>
      <c r="AM16" s="983"/>
      <c r="AN16" s="983"/>
      <c r="AO16" s="983"/>
      <c r="AP16" s="983"/>
      <c r="AQ16" s="984"/>
      <c r="AR16" s="1096"/>
      <c r="AS16" s="1097"/>
      <c r="AT16" s="1097"/>
      <c r="AU16" s="1097"/>
      <c r="AV16" s="1097"/>
      <c r="AW16" s="1098"/>
      <c r="AX16" s="789"/>
      <c r="AY16" s="789"/>
      <c r="AZ16" s="789"/>
      <c r="BA16" s="789"/>
      <c r="BB16" s="789"/>
      <c r="BC16" s="789"/>
      <c r="BD16" s="789"/>
      <c r="BE16" s="789"/>
      <c r="BF16" s="978"/>
    </row>
    <row r="17" spans="1:58" ht="9" customHeight="1" x14ac:dyDescent="0.15">
      <c r="A17" s="994">
        <v>0.47569444444444442</v>
      </c>
      <c r="B17" s="995"/>
      <c r="C17" s="995"/>
      <c r="D17" s="996"/>
      <c r="E17" s="1003" t="s">
        <v>412</v>
      </c>
      <c r="F17" s="1004"/>
      <c r="G17" s="1005"/>
      <c r="H17" s="1004">
        <v>17</v>
      </c>
      <c r="I17" s="1004"/>
      <c r="J17" s="1012"/>
      <c r="K17" s="934" t="s">
        <v>413</v>
      </c>
      <c r="L17" s="934"/>
      <c r="M17" s="960"/>
      <c r="N17" s="934" t="s">
        <v>414</v>
      </c>
      <c r="O17" s="934"/>
      <c r="P17" s="960"/>
      <c r="Q17" s="934" t="s">
        <v>415</v>
      </c>
      <c r="R17" s="934"/>
      <c r="S17" s="960"/>
      <c r="T17" s="1015" t="s">
        <v>416</v>
      </c>
      <c r="U17" s="934"/>
      <c r="V17" s="934"/>
      <c r="W17" s="991" t="s">
        <v>417</v>
      </c>
      <c r="X17" s="991"/>
      <c r="Y17" s="991"/>
      <c r="Z17" s="991" t="s">
        <v>418</v>
      </c>
      <c r="AA17" s="991"/>
      <c r="AB17" s="991"/>
      <c r="AC17" s="934" t="s">
        <v>419</v>
      </c>
      <c r="AD17" s="934"/>
      <c r="AE17" s="960"/>
      <c r="AF17" s="934" t="s">
        <v>420</v>
      </c>
      <c r="AG17" s="934"/>
      <c r="AH17" s="934"/>
      <c r="AI17" s="959" t="s">
        <v>421</v>
      </c>
      <c r="AJ17" s="934"/>
      <c r="AK17" s="960"/>
      <c r="AL17" s="962">
        <v>1129.653</v>
      </c>
      <c r="AM17" s="962"/>
      <c r="AN17" s="962"/>
      <c r="AO17" s="962"/>
      <c r="AP17" s="962"/>
      <c r="AQ17" s="963"/>
      <c r="AR17" s="1099">
        <v>1551.883</v>
      </c>
      <c r="AS17" s="1099"/>
      <c r="AT17" s="1099"/>
      <c r="AU17" s="1099"/>
      <c r="AV17" s="1099"/>
      <c r="AW17" s="1100"/>
      <c r="AX17" s="1029">
        <f>(AL17-AR17)*100</f>
        <v>-42223</v>
      </c>
      <c r="AY17" s="1029"/>
      <c r="AZ17" s="1029"/>
      <c r="BA17" s="1029"/>
      <c r="BB17" s="1029"/>
      <c r="BC17" s="1029"/>
      <c r="BD17" s="1029"/>
      <c r="BE17" s="1029"/>
      <c r="BF17" s="1030"/>
    </row>
    <row r="18" spans="1:58" ht="9" customHeight="1" x14ac:dyDescent="0.15">
      <c r="A18" s="997"/>
      <c r="B18" s="998"/>
      <c r="C18" s="998"/>
      <c r="D18" s="999"/>
      <c r="E18" s="1006"/>
      <c r="F18" s="1007"/>
      <c r="G18" s="1008"/>
      <c r="H18" s="1007"/>
      <c r="I18" s="1007"/>
      <c r="J18" s="1013"/>
      <c r="K18" s="905"/>
      <c r="L18" s="905"/>
      <c r="M18" s="906"/>
      <c r="N18" s="905"/>
      <c r="O18" s="905"/>
      <c r="P18" s="906"/>
      <c r="Q18" s="905"/>
      <c r="R18" s="905"/>
      <c r="S18" s="906"/>
      <c r="T18" s="1016"/>
      <c r="U18" s="905"/>
      <c r="V18" s="905"/>
      <c r="W18" s="991"/>
      <c r="X18" s="991"/>
      <c r="Y18" s="991"/>
      <c r="Z18" s="991"/>
      <c r="AA18" s="991"/>
      <c r="AB18" s="991"/>
      <c r="AC18" s="905"/>
      <c r="AD18" s="905"/>
      <c r="AE18" s="906"/>
      <c r="AF18" s="905"/>
      <c r="AG18" s="905"/>
      <c r="AH18" s="905"/>
      <c r="AI18" s="961"/>
      <c r="AJ18" s="905"/>
      <c r="AK18" s="906"/>
      <c r="AL18" s="964"/>
      <c r="AM18" s="964"/>
      <c r="AN18" s="964"/>
      <c r="AO18" s="964"/>
      <c r="AP18" s="964"/>
      <c r="AQ18" s="965"/>
      <c r="AR18" s="1101"/>
      <c r="AS18" s="1101"/>
      <c r="AT18" s="1101"/>
      <c r="AU18" s="1101"/>
      <c r="AV18" s="1101"/>
      <c r="AW18" s="1102"/>
      <c r="AX18" s="1031"/>
      <c r="AY18" s="1031"/>
      <c r="AZ18" s="1031"/>
      <c r="BA18" s="1031"/>
      <c r="BB18" s="1031"/>
      <c r="BC18" s="1031"/>
      <c r="BD18" s="1031"/>
      <c r="BE18" s="1031"/>
      <c r="BF18" s="1032"/>
    </row>
    <row r="19" spans="1:58" ht="9" customHeight="1" x14ac:dyDescent="0.15">
      <c r="A19" s="1000"/>
      <c r="B19" s="1001"/>
      <c r="C19" s="1001"/>
      <c r="D19" s="1002"/>
      <c r="E19" s="1009"/>
      <c r="F19" s="1010"/>
      <c r="G19" s="1011"/>
      <c r="H19" s="1010"/>
      <c r="I19" s="1010"/>
      <c r="J19" s="1014"/>
      <c r="K19" s="949">
        <v>6.6</v>
      </c>
      <c r="L19" s="949"/>
      <c r="M19" s="982"/>
      <c r="N19" s="949">
        <v>6.5</v>
      </c>
      <c r="O19" s="949"/>
      <c r="P19" s="982"/>
      <c r="Q19" s="949">
        <v>6.5</v>
      </c>
      <c r="R19" s="949"/>
      <c r="S19" s="982"/>
      <c r="T19" s="985">
        <f>$AC$19/K19/1.73</f>
        <v>41.776142932212302</v>
      </c>
      <c r="U19" s="986"/>
      <c r="V19" s="986"/>
      <c r="W19" s="989">
        <f t="shared" ref="W19" si="0">$AC$19/N19/1.73</f>
        <v>42.418852823477103</v>
      </c>
      <c r="X19" s="989"/>
      <c r="Y19" s="989"/>
      <c r="Z19" s="989">
        <f t="shared" ref="Z19" si="1">$AC$19/Q19/1.73</f>
        <v>42.418852823477103</v>
      </c>
      <c r="AA19" s="989"/>
      <c r="AB19" s="989"/>
      <c r="AC19" s="949">
        <v>477</v>
      </c>
      <c r="AD19" s="949"/>
      <c r="AE19" s="982"/>
      <c r="AF19" s="949" t="s">
        <v>422</v>
      </c>
      <c r="AG19" s="949"/>
      <c r="AH19" s="982"/>
      <c r="AI19" s="966" t="s">
        <v>423</v>
      </c>
      <c r="AJ19" s="907"/>
      <c r="AK19" s="967"/>
      <c r="AL19" s="971">
        <v>0.76100000000000001</v>
      </c>
      <c r="AM19" s="971"/>
      <c r="AN19" s="971"/>
      <c r="AO19" s="971"/>
      <c r="AP19" s="971"/>
      <c r="AQ19" s="972"/>
      <c r="AR19" s="1103">
        <v>0.78600000000000003</v>
      </c>
      <c r="AS19" s="1103"/>
      <c r="AT19" s="1103"/>
      <c r="AU19" s="1103"/>
      <c r="AV19" s="1103"/>
      <c r="AW19" s="1104"/>
      <c r="AX19" s="975">
        <f>(AL19-AR19)*2400</f>
        <v>-60.000000000000057</v>
      </c>
      <c r="AY19" s="975"/>
      <c r="AZ19" s="975"/>
      <c r="BA19" s="975"/>
      <c r="BB19" s="975"/>
      <c r="BC19" s="975"/>
      <c r="BD19" s="975"/>
      <c r="BE19" s="975"/>
      <c r="BF19" s="976"/>
    </row>
    <row r="20" spans="1:58" x14ac:dyDescent="0.15">
      <c r="A20" s="788" t="s">
        <v>424</v>
      </c>
      <c r="B20" s="789"/>
      <c r="C20" s="789"/>
      <c r="D20" s="789"/>
      <c r="E20" s="789"/>
      <c r="F20" s="789"/>
      <c r="G20" s="789"/>
      <c r="H20" s="789"/>
      <c r="I20" s="789"/>
      <c r="J20" s="978"/>
      <c r="K20" s="983"/>
      <c r="L20" s="983"/>
      <c r="M20" s="984"/>
      <c r="N20" s="983"/>
      <c r="O20" s="983"/>
      <c r="P20" s="984"/>
      <c r="Q20" s="983"/>
      <c r="R20" s="983"/>
      <c r="S20" s="984"/>
      <c r="T20" s="987"/>
      <c r="U20" s="988"/>
      <c r="V20" s="988"/>
      <c r="W20" s="990"/>
      <c r="X20" s="990"/>
      <c r="Y20" s="990"/>
      <c r="Z20" s="990"/>
      <c r="AA20" s="990"/>
      <c r="AB20" s="990"/>
      <c r="AC20" s="983"/>
      <c r="AD20" s="983"/>
      <c r="AE20" s="984"/>
      <c r="AF20" s="983"/>
      <c r="AG20" s="983"/>
      <c r="AH20" s="984"/>
      <c r="AI20" s="968"/>
      <c r="AJ20" s="969"/>
      <c r="AK20" s="970"/>
      <c r="AL20" s="973"/>
      <c r="AM20" s="973"/>
      <c r="AN20" s="973"/>
      <c r="AO20" s="973"/>
      <c r="AP20" s="973"/>
      <c r="AQ20" s="974"/>
      <c r="AR20" s="1105"/>
      <c r="AS20" s="1105"/>
      <c r="AT20" s="1105"/>
      <c r="AU20" s="1105"/>
      <c r="AV20" s="1105"/>
      <c r="AW20" s="1106"/>
      <c r="AX20" s="951"/>
      <c r="AY20" s="951"/>
      <c r="AZ20" s="951"/>
      <c r="BA20" s="951"/>
      <c r="BB20" s="951"/>
      <c r="BC20" s="951"/>
      <c r="BD20" s="951"/>
      <c r="BE20" s="951"/>
      <c r="BF20" s="977"/>
    </row>
    <row r="21" spans="1:58" x14ac:dyDescent="0.15">
      <c r="A21" s="979" t="s">
        <v>211</v>
      </c>
      <c r="B21" s="794"/>
      <c r="C21" s="794"/>
      <c r="D21" s="794"/>
      <c r="E21" s="794"/>
      <c r="F21" s="794"/>
      <c r="G21" s="781" t="s">
        <v>425</v>
      </c>
      <c r="H21" s="781"/>
      <c r="I21" s="781"/>
      <c r="J21" s="782"/>
      <c r="K21" s="980" t="s">
        <v>426</v>
      </c>
      <c r="L21" s="938"/>
      <c r="M21" s="938"/>
      <c r="N21" s="938"/>
      <c r="O21" s="938"/>
      <c r="P21" s="939"/>
      <c r="Q21" s="938" t="s">
        <v>427</v>
      </c>
      <c r="R21" s="938"/>
      <c r="S21" s="938"/>
      <c r="T21" s="938"/>
      <c r="U21" s="938"/>
      <c r="V21" s="938"/>
      <c r="W21" s="789"/>
      <c r="X21" s="789"/>
      <c r="Y21" s="981"/>
      <c r="Z21" s="789" t="s">
        <v>428</v>
      </c>
      <c r="AA21" s="789"/>
      <c r="AB21" s="789"/>
      <c r="AC21" s="938"/>
      <c r="AD21" s="938"/>
      <c r="AE21" s="938"/>
      <c r="AF21" s="938"/>
      <c r="AG21" s="938"/>
      <c r="AH21" s="938"/>
      <c r="AI21" s="939"/>
      <c r="AJ21" s="937" t="s">
        <v>429</v>
      </c>
      <c r="AK21" s="938"/>
      <c r="AL21" s="938"/>
      <c r="AM21" s="938"/>
      <c r="AN21" s="938"/>
      <c r="AO21" s="938"/>
      <c r="AP21" s="938"/>
      <c r="AQ21" s="938"/>
      <c r="AR21" s="938"/>
      <c r="AS21" s="938"/>
      <c r="AT21" s="938"/>
      <c r="AU21" s="938"/>
      <c r="AV21" s="938"/>
      <c r="AW21" s="939"/>
      <c r="AX21" s="938" t="s">
        <v>430</v>
      </c>
      <c r="AY21" s="938"/>
      <c r="AZ21" s="938"/>
      <c r="BA21" s="938"/>
      <c r="BB21" s="938"/>
      <c r="BC21" s="938"/>
      <c r="BD21" s="938"/>
      <c r="BE21" s="938"/>
      <c r="BF21" s="940"/>
    </row>
    <row r="22" spans="1:58" x14ac:dyDescent="0.15">
      <c r="A22" s="941" t="s">
        <v>431</v>
      </c>
      <c r="B22" s="942"/>
      <c r="C22" s="942"/>
      <c r="D22" s="942"/>
      <c r="E22" s="942"/>
      <c r="F22" s="943"/>
      <c r="G22" s="945" t="s">
        <v>432</v>
      </c>
      <c r="H22" s="942"/>
      <c r="I22" s="942"/>
      <c r="J22" s="946"/>
      <c r="K22" s="948" t="s">
        <v>211</v>
      </c>
      <c r="L22" s="949"/>
      <c r="M22" s="949"/>
      <c r="N22" s="949"/>
      <c r="O22" s="787" t="s">
        <v>433</v>
      </c>
      <c r="P22" s="929"/>
      <c r="Q22" s="931">
        <f>AX17</f>
        <v>-42223</v>
      </c>
      <c r="R22" s="792"/>
      <c r="S22" s="792"/>
      <c r="T22" s="792"/>
      <c r="U22" s="792"/>
      <c r="V22" s="792"/>
      <c r="W22" s="787" t="s">
        <v>434</v>
      </c>
      <c r="X22" s="787"/>
      <c r="Y22" s="929"/>
      <c r="Z22" s="952" t="e">
        <f>AX17*AX22</f>
        <v>#VALUE!</v>
      </c>
      <c r="AA22" s="952"/>
      <c r="AB22" s="952"/>
      <c r="AC22" s="952"/>
      <c r="AD22" s="952"/>
      <c r="AE22" s="952"/>
      <c r="AF22" s="952"/>
      <c r="AG22" s="952"/>
      <c r="AH22" s="955" t="s">
        <v>435</v>
      </c>
      <c r="AI22" s="956"/>
      <c r="AJ22" s="925">
        <f>Q22/(AL15-AR15)</f>
        <v>-398.33018867924528</v>
      </c>
      <c r="AK22" s="926"/>
      <c r="AL22" s="926"/>
      <c r="AM22" s="787" t="s">
        <v>436</v>
      </c>
      <c r="AN22" s="929"/>
      <c r="AO22" s="931" t="e">
        <f>Z22/(AL15-AR15)</f>
        <v>#VALUE!</v>
      </c>
      <c r="AP22" s="931"/>
      <c r="AQ22" s="931"/>
      <c r="AR22" s="931"/>
      <c r="AS22" s="931"/>
      <c r="AT22" s="931"/>
      <c r="AU22" s="931"/>
      <c r="AV22" s="787" t="s">
        <v>437</v>
      </c>
      <c r="AW22" s="929"/>
      <c r="AX22" s="792" t="s">
        <v>211</v>
      </c>
      <c r="AY22" s="792"/>
      <c r="AZ22" s="792"/>
      <c r="BA22" s="792"/>
      <c r="BB22" s="934" t="s">
        <v>438</v>
      </c>
      <c r="BC22" s="934"/>
      <c r="BD22" s="934"/>
      <c r="BE22" s="934"/>
      <c r="BF22" s="935"/>
    </row>
    <row r="23" spans="1:58" x14ac:dyDescent="0.15">
      <c r="A23" s="780"/>
      <c r="B23" s="781"/>
      <c r="C23" s="781"/>
      <c r="D23" s="781"/>
      <c r="E23" s="781"/>
      <c r="F23" s="944"/>
      <c r="G23" s="947"/>
      <c r="H23" s="781"/>
      <c r="I23" s="781"/>
      <c r="J23" s="782"/>
      <c r="K23" s="950"/>
      <c r="L23" s="951"/>
      <c r="M23" s="951"/>
      <c r="N23" s="951"/>
      <c r="O23" s="781"/>
      <c r="P23" s="944"/>
      <c r="Q23" s="794"/>
      <c r="R23" s="794"/>
      <c r="S23" s="794"/>
      <c r="T23" s="794"/>
      <c r="U23" s="794"/>
      <c r="V23" s="794"/>
      <c r="W23" s="781"/>
      <c r="X23" s="781"/>
      <c r="Y23" s="944"/>
      <c r="Z23" s="953"/>
      <c r="AA23" s="953"/>
      <c r="AB23" s="954"/>
      <c r="AC23" s="954"/>
      <c r="AD23" s="954"/>
      <c r="AE23" s="954"/>
      <c r="AF23" s="954"/>
      <c r="AG23" s="954"/>
      <c r="AH23" s="957"/>
      <c r="AI23" s="958"/>
      <c r="AJ23" s="927"/>
      <c r="AK23" s="928"/>
      <c r="AL23" s="928"/>
      <c r="AM23" s="775"/>
      <c r="AN23" s="930"/>
      <c r="AO23" s="932"/>
      <c r="AP23" s="932"/>
      <c r="AQ23" s="932"/>
      <c r="AR23" s="932"/>
      <c r="AS23" s="932"/>
      <c r="AT23" s="932"/>
      <c r="AU23" s="932"/>
      <c r="AV23" s="775"/>
      <c r="AW23" s="930"/>
      <c r="AX23" s="933"/>
      <c r="AY23" s="933"/>
      <c r="AZ23" s="933"/>
      <c r="BA23" s="933"/>
      <c r="BB23" s="907"/>
      <c r="BC23" s="907"/>
      <c r="BD23" s="907"/>
      <c r="BE23" s="907"/>
      <c r="BF23" s="936"/>
    </row>
    <row r="24" spans="1:58" ht="13.5" customHeight="1" x14ac:dyDescent="0.15">
      <c r="A24" s="911" t="s">
        <v>439</v>
      </c>
      <c r="B24" s="912"/>
      <c r="C24" s="912"/>
      <c r="D24" s="912"/>
      <c r="E24" s="912"/>
      <c r="F24" s="912"/>
      <c r="G24" s="912"/>
      <c r="H24" s="912"/>
      <c r="I24" s="912"/>
      <c r="J24" s="913"/>
      <c r="K24" s="917" t="s">
        <v>401</v>
      </c>
      <c r="L24" s="912"/>
      <c r="M24" s="912"/>
      <c r="N24" s="912"/>
      <c r="O24" s="912"/>
      <c r="P24" s="912"/>
      <c r="Q24" s="913"/>
      <c r="R24" s="921" t="s">
        <v>440</v>
      </c>
      <c r="S24" s="922"/>
      <c r="T24" s="922"/>
      <c r="U24" s="922"/>
      <c r="V24" s="922"/>
      <c r="W24" s="922"/>
      <c r="X24" s="922"/>
      <c r="Y24" s="922"/>
      <c r="Z24" s="922"/>
      <c r="AA24" s="923"/>
      <c r="AB24" s="921" t="s">
        <v>441</v>
      </c>
      <c r="AC24" s="922"/>
      <c r="AD24" s="922"/>
      <c r="AE24" s="922"/>
      <c r="AF24" s="922"/>
      <c r="AG24" s="922"/>
      <c r="AH24" s="922"/>
      <c r="AI24" s="922"/>
      <c r="AJ24" s="922"/>
      <c r="AK24" s="922"/>
      <c r="AL24" s="903" t="s">
        <v>442</v>
      </c>
      <c r="AM24" s="903"/>
      <c r="AN24" s="903"/>
      <c r="AO24" s="903"/>
      <c r="AP24" s="903"/>
      <c r="AQ24" s="903"/>
      <c r="AR24" s="903"/>
      <c r="AS24" s="903"/>
      <c r="AT24" s="903"/>
      <c r="AU24" s="903"/>
      <c r="AV24" s="924" t="s">
        <v>443</v>
      </c>
      <c r="AW24" s="924"/>
      <c r="AX24" s="924"/>
      <c r="AY24" s="924"/>
      <c r="AZ24" s="924"/>
      <c r="BA24" s="924"/>
      <c r="BB24" s="903" t="s">
        <v>444</v>
      </c>
      <c r="BC24" s="903"/>
      <c r="BD24" s="903"/>
      <c r="BE24" s="903"/>
      <c r="BF24" s="904"/>
    </row>
    <row r="25" spans="1:58" ht="13.5" customHeight="1" x14ac:dyDescent="0.15">
      <c r="A25" s="914"/>
      <c r="B25" s="915"/>
      <c r="C25" s="915"/>
      <c r="D25" s="915"/>
      <c r="E25" s="915"/>
      <c r="F25" s="915"/>
      <c r="G25" s="915"/>
      <c r="H25" s="915"/>
      <c r="I25" s="915"/>
      <c r="J25" s="916"/>
      <c r="K25" s="918"/>
      <c r="L25" s="919"/>
      <c r="M25" s="919"/>
      <c r="N25" s="919"/>
      <c r="O25" s="919"/>
      <c r="P25" s="919"/>
      <c r="Q25" s="920"/>
      <c r="R25" s="905" t="s">
        <v>445</v>
      </c>
      <c r="S25" s="905"/>
      <c r="T25" s="905"/>
      <c r="U25" s="905"/>
      <c r="V25" s="905"/>
      <c r="W25" s="905" t="s">
        <v>446</v>
      </c>
      <c r="X25" s="905"/>
      <c r="Y25" s="905"/>
      <c r="Z25" s="905"/>
      <c r="AA25" s="906"/>
      <c r="AB25" s="907" t="s">
        <v>445</v>
      </c>
      <c r="AC25" s="907"/>
      <c r="AD25" s="907"/>
      <c r="AE25" s="907"/>
      <c r="AF25" s="907"/>
      <c r="AG25" s="907" t="s">
        <v>446</v>
      </c>
      <c r="AH25" s="907"/>
      <c r="AI25" s="907"/>
      <c r="AJ25" s="907"/>
      <c r="AK25" s="907"/>
      <c r="AL25" s="908" t="s">
        <v>445</v>
      </c>
      <c r="AM25" s="908"/>
      <c r="AN25" s="908"/>
      <c r="AO25" s="908"/>
      <c r="AP25" s="908"/>
      <c r="AQ25" s="908" t="s">
        <v>446</v>
      </c>
      <c r="AR25" s="908"/>
      <c r="AS25" s="908"/>
      <c r="AT25" s="908"/>
      <c r="AU25" s="908"/>
      <c r="AV25" s="909" t="s">
        <v>447</v>
      </c>
      <c r="AW25" s="909"/>
      <c r="AX25" s="909"/>
      <c r="AY25" s="909"/>
      <c r="AZ25" s="909"/>
      <c r="BA25" s="909"/>
      <c r="BB25" s="908" t="s">
        <v>448</v>
      </c>
      <c r="BC25" s="908"/>
      <c r="BD25" s="908"/>
      <c r="BE25" s="908"/>
      <c r="BF25" s="910"/>
    </row>
    <row r="26" spans="1:58" ht="15.95" customHeight="1" x14ac:dyDescent="0.15">
      <c r="A26" s="879" t="s">
        <v>449</v>
      </c>
      <c r="B26" s="880"/>
      <c r="C26" s="880"/>
      <c r="D26" s="880"/>
      <c r="E26" s="880"/>
      <c r="F26" s="880"/>
      <c r="G26" s="880"/>
      <c r="H26" s="880"/>
      <c r="I26" s="880"/>
      <c r="J26" s="880"/>
      <c r="K26" s="881">
        <v>0.47916666666666669</v>
      </c>
      <c r="L26" s="882"/>
      <c r="M26" s="882"/>
      <c r="N26" s="882"/>
      <c r="O26" s="882"/>
      <c r="P26" s="882"/>
      <c r="Q26" s="882"/>
      <c r="R26" s="892" t="s">
        <v>450</v>
      </c>
      <c r="S26" s="893"/>
      <c r="T26" s="893"/>
      <c r="U26" s="893"/>
      <c r="V26" s="893"/>
      <c r="W26" s="893"/>
      <c r="X26" s="893"/>
      <c r="Y26" s="893"/>
      <c r="Z26" s="893"/>
      <c r="AA26" s="893"/>
      <c r="AB26" s="893"/>
      <c r="AC26" s="893"/>
      <c r="AD26" s="893"/>
      <c r="AE26" s="893"/>
      <c r="AF26" s="893"/>
      <c r="AG26" s="893"/>
      <c r="AH26" s="893"/>
      <c r="AI26" s="893"/>
      <c r="AJ26" s="893"/>
      <c r="AK26" s="893"/>
      <c r="AL26" s="893"/>
      <c r="AM26" s="893"/>
      <c r="AN26" s="893"/>
      <c r="AO26" s="893"/>
      <c r="AP26" s="893"/>
      <c r="AQ26" s="893"/>
      <c r="AR26" s="893"/>
      <c r="AS26" s="893"/>
      <c r="AT26" s="893"/>
      <c r="AU26" s="883"/>
      <c r="AV26" s="883">
        <v>31</v>
      </c>
      <c r="AW26" s="882"/>
      <c r="AX26" s="882"/>
      <c r="AY26" s="882"/>
      <c r="AZ26" s="882"/>
      <c r="BA26" s="882"/>
      <c r="BB26" s="883" t="s">
        <v>211</v>
      </c>
      <c r="BC26" s="882"/>
      <c r="BD26" s="882"/>
      <c r="BE26" s="882"/>
      <c r="BF26" s="902"/>
    </row>
    <row r="27" spans="1:58" ht="15.95" customHeight="1" x14ac:dyDescent="0.15">
      <c r="A27" s="879" t="s">
        <v>451</v>
      </c>
      <c r="B27" s="880"/>
      <c r="C27" s="880"/>
      <c r="D27" s="880"/>
      <c r="E27" s="880"/>
      <c r="F27" s="880"/>
      <c r="G27" s="880"/>
      <c r="H27" s="880"/>
      <c r="I27" s="880"/>
      <c r="J27" s="880"/>
      <c r="K27" s="881"/>
      <c r="L27" s="882"/>
      <c r="M27" s="882"/>
      <c r="N27" s="882"/>
      <c r="O27" s="882"/>
      <c r="P27" s="882"/>
      <c r="Q27" s="882"/>
      <c r="R27" s="883" t="s">
        <v>211</v>
      </c>
      <c r="S27" s="882"/>
      <c r="T27" s="882"/>
      <c r="U27" s="882"/>
      <c r="V27" s="882"/>
      <c r="W27" s="882" t="s">
        <v>528</v>
      </c>
      <c r="X27" s="882"/>
      <c r="Y27" s="882"/>
      <c r="Z27" s="882"/>
      <c r="AA27" s="882"/>
      <c r="AB27" s="883" t="s">
        <v>211</v>
      </c>
      <c r="AC27" s="882"/>
      <c r="AD27" s="882"/>
      <c r="AE27" s="882"/>
      <c r="AF27" s="882"/>
      <c r="AG27" s="883">
        <v>490</v>
      </c>
      <c r="AH27" s="882"/>
      <c r="AI27" s="882"/>
      <c r="AJ27" s="882"/>
      <c r="AK27" s="882"/>
      <c r="AL27" s="883" t="s">
        <v>211</v>
      </c>
      <c r="AM27" s="882"/>
      <c r="AN27" s="882"/>
      <c r="AO27" s="882"/>
      <c r="AP27" s="882"/>
      <c r="AQ27" s="883" t="s">
        <v>211</v>
      </c>
      <c r="AR27" s="882"/>
      <c r="AS27" s="882"/>
      <c r="AT27" s="882"/>
      <c r="AU27" s="882"/>
      <c r="AV27" s="882">
        <v>41</v>
      </c>
      <c r="AW27" s="882"/>
      <c r="AX27" s="882"/>
      <c r="AY27" s="882"/>
      <c r="AZ27" s="882"/>
      <c r="BA27" s="882"/>
      <c r="BB27" s="894" t="s">
        <v>452</v>
      </c>
      <c r="BC27" s="895"/>
      <c r="BD27" s="895"/>
      <c r="BE27" s="895"/>
      <c r="BF27" s="896"/>
    </row>
    <row r="28" spans="1:58" ht="15.95" customHeight="1" x14ac:dyDescent="0.15">
      <c r="A28" s="879" t="s">
        <v>453</v>
      </c>
      <c r="B28" s="880"/>
      <c r="C28" s="880"/>
      <c r="D28" s="880"/>
      <c r="E28" s="880"/>
      <c r="F28" s="880"/>
      <c r="G28" s="880"/>
      <c r="H28" s="880"/>
      <c r="I28" s="880"/>
      <c r="J28" s="880"/>
      <c r="K28" s="881"/>
      <c r="L28" s="882"/>
      <c r="M28" s="882"/>
      <c r="N28" s="882"/>
      <c r="O28" s="882"/>
      <c r="P28" s="882"/>
      <c r="Q28" s="882"/>
      <c r="R28" s="883" t="s">
        <v>211</v>
      </c>
      <c r="S28" s="882"/>
      <c r="T28" s="882"/>
      <c r="U28" s="882"/>
      <c r="V28" s="882"/>
      <c r="W28" s="882" t="s">
        <v>529</v>
      </c>
      <c r="X28" s="882"/>
      <c r="Y28" s="882"/>
      <c r="Z28" s="882"/>
      <c r="AA28" s="882"/>
      <c r="AB28" s="883" t="s">
        <v>211</v>
      </c>
      <c r="AC28" s="882"/>
      <c r="AD28" s="882"/>
      <c r="AE28" s="882"/>
      <c r="AF28" s="882"/>
      <c r="AG28" s="883">
        <v>598</v>
      </c>
      <c r="AH28" s="882"/>
      <c r="AI28" s="882"/>
      <c r="AJ28" s="882"/>
      <c r="AK28" s="882"/>
      <c r="AL28" s="883" t="s">
        <v>211</v>
      </c>
      <c r="AM28" s="882"/>
      <c r="AN28" s="882"/>
      <c r="AO28" s="882"/>
      <c r="AP28" s="882"/>
      <c r="AQ28" s="883" t="s">
        <v>211</v>
      </c>
      <c r="AR28" s="882"/>
      <c r="AS28" s="882"/>
      <c r="AT28" s="882"/>
      <c r="AU28" s="882"/>
      <c r="AV28" s="882">
        <v>42</v>
      </c>
      <c r="AW28" s="882"/>
      <c r="AX28" s="882"/>
      <c r="AY28" s="882"/>
      <c r="AZ28" s="882"/>
      <c r="BA28" s="882"/>
      <c r="BB28" s="894" t="s">
        <v>452</v>
      </c>
      <c r="BC28" s="895"/>
      <c r="BD28" s="895"/>
      <c r="BE28" s="895"/>
      <c r="BF28" s="896"/>
    </row>
    <row r="29" spans="1:58" ht="15.95" customHeight="1" x14ac:dyDescent="0.15">
      <c r="A29" s="879" t="s">
        <v>454</v>
      </c>
      <c r="B29" s="880"/>
      <c r="C29" s="880"/>
      <c r="D29" s="880"/>
      <c r="E29" s="880"/>
      <c r="F29" s="880"/>
      <c r="G29" s="880"/>
      <c r="H29" s="880"/>
      <c r="I29" s="880"/>
      <c r="J29" s="880"/>
      <c r="K29" s="881"/>
      <c r="L29" s="882"/>
      <c r="M29" s="882"/>
      <c r="N29" s="882"/>
      <c r="O29" s="882"/>
      <c r="P29" s="882"/>
      <c r="Q29" s="882"/>
      <c r="R29" s="883" t="s">
        <v>211</v>
      </c>
      <c r="S29" s="882"/>
      <c r="T29" s="882"/>
      <c r="U29" s="882"/>
      <c r="V29" s="882"/>
      <c r="W29" s="883" t="s">
        <v>530</v>
      </c>
      <c r="X29" s="882"/>
      <c r="Y29" s="882"/>
      <c r="Z29" s="882"/>
      <c r="AA29" s="882"/>
      <c r="AB29" s="883" t="s">
        <v>211</v>
      </c>
      <c r="AC29" s="882"/>
      <c r="AD29" s="882"/>
      <c r="AE29" s="882"/>
      <c r="AF29" s="882"/>
      <c r="AG29" s="900" t="s">
        <v>455</v>
      </c>
      <c r="AH29" s="901"/>
      <c r="AI29" s="901"/>
      <c r="AJ29" s="901"/>
      <c r="AK29" s="901"/>
      <c r="AL29" s="883" t="s">
        <v>211</v>
      </c>
      <c r="AM29" s="882"/>
      <c r="AN29" s="882"/>
      <c r="AO29" s="882"/>
      <c r="AP29" s="882"/>
      <c r="AQ29" s="883"/>
      <c r="AR29" s="882"/>
      <c r="AS29" s="882"/>
      <c r="AT29" s="882"/>
      <c r="AU29" s="882"/>
      <c r="AV29" s="892">
        <v>27</v>
      </c>
      <c r="AW29" s="893"/>
      <c r="AX29" s="893"/>
      <c r="AY29" s="893"/>
      <c r="AZ29" s="893"/>
      <c r="BA29" s="883"/>
      <c r="BB29" s="894">
        <v>6</v>
      </c>
      <c r="BC29" s="895"/>
      <c r="BD29" s="895"/>
      <c r="BE29" s="895"/>
      <c r="BF29" s="896"/>
    </row>
    <row r="30" spans="1:58" ht="15.95" customHeight="1" x14ac:dyDescent="0.15">
      <c r="A30" s="879" t="s">
        <v>456</v>
      </c>
      <c r="B30" s="880"/>
      <c r="C30" s="880"/>
      <c r="D30" s="880"/>
      <c r="E30" s="880"/>
      <c r="F30" s="880"/>
      <c r="G30" s="880"/>
      <c r="H30" s="880"/>
      <c r="I30" s="880"/>
      <c r="J30" s="880"/>
      <c r="K30" s="881"/>
      <c r="L30" s="882"/>
      <c r="M30" s="882"/>
      <c r="N30" s="882"/>
      <c r="O30" s="882"/>
      <c r="P30" s="882"/>
      <c r="Q30" s="882"/>
      <c r="R30" s="883" t="s">
        <v>211</v>
      </c>
      <c r="S30" s="882"/>
      <c r="T30" s="882"/>
      <c r="U30" s="882"/>
      <c r="V30" s="882"/>
      <c r="W30" s="883" t="s">
        <v>531</v>
      </c>
      <c r="X30" s="882"/>
      <c r="Y30" s="882"/>
      <c r="Z30" s="882"/>
      <c r="AA30" s="882"/>
      <c r="AB30" s="883" t="s">
        <v>211</v>
      </c>
      <c r="AC30" s="882"/>
      <c r="AD30" s="882"/>
      <c r="AE30" s="882"/>
      <c r="AF30" s="882"/>
      <c r="AG30" s="899" t="s">
        <v>457</v>
      </c>
      <c r="AH30" s="882"/>
      <c r="AI30" s="882"/>
      <c r="AJ30" s="882"/>
      <c r="AK30" s="882"/>
      <c r="AL30" s="883" t="s">
        <v>211</v>
      </c>
      <c r="AM30" s="882"/>
      <c r="AN30" s="882"/>
      <c r="AO30" s="882"/>
      <c r="AP30" s="882"/>
      <c r="AQ30" s="883"/>
      <c r="AR30" s="882"/>
      <c r="AS30" s="882"/>
      <c r="AT30" s="882"/>
      <c r="AU30" s="882"/>
      <c r="AV30" s="892">
        <v>28</v>
      </c>
      <c r="AW30" s="893"/>
      <c r="AX30" s="893"/>
      <c r="AY30" s="893"/>
      <c r="AZ30" s="893"/>
      <c r="BA30" s="883"/>
      <c r="BB30" s="894">
        <v>1</v>
      </c>
      <c r="BC30" s="895"/>
      <c r="BD30" s="895"/>
      <c r="BE30" s="895"/>
      <c r="BF30" s="896"/>
    </row>
    <row r="31" spans="1:58" ht="15.95" customHeight="1" x14ac:dyDescent="0.15">
      <c r="A31" s="879" t="s">
        <v>458</v>
      </c>
      <c r="B31" s="880"/>
      <c r="C31" s="880"/>
      <c r="D31" s="880"/>
      <c r="E31" s="880"/>
      <c r="F31" s="880"/>
      <c r="G31" s="880"/>
      <c r="H31" s="880"/>
      <c r="I31" s="880"/>
      <c r="J31" s="880"/>
      <c r="K31" s="881"/>
      <c r="L31" s="882"/>
      <c r="M31" s="882"/>
      <c r="N31" s="882"/>
      <c r="O31" s="882"/>
      <c r="P31" s="882"/>
      <c r="Q31" s="882"/>
      <c r="R31" s="883">
        <v>659</v>
      </c>
      <c r="S31" s="882"/>
      <c r="T31" s="882"/>
      <c r="U31" s="882"/>
      <c r="V31" s="882"/>
      <c r="W31" s="883">
        <v>294</v>
      </c>
      <c r="X31" s="882"/>
      <c r="Y31" s="882"/>
      <c r="Z31" s="882"/>
      <c r="AA31" s="882"/>
      <c r="AB31" s="883">
        <v>367</v>
      </c>
      <c r="AC31" s="882"/>
      <c r="AD31" s="882"/>
      <c r="AE31" s="882"/>
      <c r="AF31" s="882"/>
      <c r="AG31" s="883">
        <v>489</v>
      </c>
      <c r="AH31" s="882"/>
      <c r="AI31" s="882"/>
      <c r="AJ31" s="882"/>
      <c r="AK31" s="882"/>
      <c r="AL31" s="883" t="s">
        <v>211</v>
      </c>
      <c r="AM31" s="882"/>
      <c r="AN31" s="882"/>
      <c r="AO31" s="882"/>
      <c r="AP31" s="882"/>
      <c r="AQ31" s="883">
        <v>235</v>
      </c>
      <c r="AR31" s="882"/>
      <c r="AS31" s="882"/>
      <c r="AT31" s="882"/>
      <c r="AU31" s="882"/>
      <c r="AV31" s="892" t="s">
        <v>211</v>
      </c>
      <c r="AW31" s="893"/>
      <c r="AX31" s="893"/>
      <c r="AY31" s="893"/>
      <c r="AZ31" s="893"/>
      <c r="BA31" s="883"/>
      <c r="BB31" s="894" t="s">
        <v>211</v>
      </c>
      <c r="BC31" s="895"/>
      <c r="BD31" s="895"/>
      <c r="BE31" s="895"/>
      <c r="BF31" s="896"/>
    </row>
    <row r="32" spans="1:58" ht="15.95" customHeight="1" x14ac:dyDescent="0.15">
      <c r="A32" s="879" t="s">
        <v>459</v>
      </c>
      <c r="B32" s="880"/>
      <c r="C32" s="880"/>
      <c r="D32" s="880"/>
      <c r="E32" s="880"/>
      <c r="F32" s="880"/>
      <c r="G32" s="880"/>
      <c r="H32" s="880"/>
      <c r="I32" s="880"/>
      <c r="J32" s="880"/>
      <c r="K32" s="881"/>
      <c r="L32" s="882"/>
      <c r="M32" s="882"/>
      <c r="N32" s="882"/>
      <c r="O32" s="882"/>
      <c r="P32" s="882"/>
      <c r="Q32" s="882"/>
      <c r="R32" s="883">
        <v>662</v>
      </c>
      <c r="S32" s="882"/>
      <c r="T32" s="882"/>
      <c r="U32" s="882"/>
      <c r="V32" s="882"/>
      <c r="W32" s="883">
        <v>293</v>
      </c>
      <c r="X32" s="882"/>
      <c r="Y32" s="882"/>
      <c r="Z32" s="882"/>
      <c r="AA32" s="882"/>
      <c r="AB32" s="883">
        <v>472</v>
      </c>
      <c r="AC32" s="882"/>
      <c r="AD32" s="882"/>
      <c r="AE32" s="882"/>
      <c r="AF32" s="882"/>
      <c r="AG32" s="883">
        <v>631</v>
      </c>
      <c r="AH32" s="882"/>
      <c r="AI32" s="882"/>
      <c r="AJ32" s="882"/>
      <c r="AK32" s="882"/>
      <c r="AL32" s="883" t="s">
        <v>211</v>
      </c>
      <c r="AM32" s="882"/>
      <c r="AN32" s="882"/>
      <c r="AO32" s="882"/>
      <c r="AP32" s="882"/>
      <c r="AQ32" s="883">
        <v>303</v>
      </c>
      <c r="AR32" s="882"/>
      <c r="AS32" s="882"/>
      <c r="AT32" s="882"/>
      <c r="AU32" s="882"/>
      <c r="AV32" s="892" t="s">
        <v>211</v>
      </c>
      <c r="AW32" s="893"/>
      <c r="AX32" s="893"/>
      <c r="AY32" s="893"/>
      <c r="AZ32" s="893"/>
      <c r="BA32" s="883"/>
      <c r="BB32" s="894" t="s">
        <v>211</v>
      </c>
      <c r="BC32" s="895"/>
      <c r="BD32" s="895"/>
      <c r="BE32" s="895"/>
      <c r="BF32" s="896"/>
    </row>
    <row r="33" spans="1:58" ht="15.95" customHeight="1" x14ac:dyDescent="0.15">
      <c r="A33" s="897" t="s">
        <v>118</v>
      </c>
      <c r="B33" s="898"/>
      <c r="C33" s="898"/>
      <c r="D33" s="898"/>
      <c r="E33" s="898"/>
      <c r="F33" s="898"/>
      <c r="G33" s="898"/>
      <c r="H33" s="898"/>
      <c r="I33" s="898"/>
      <c r="J33" s="898"/>
      <c r="K33" s="878"/>
      <c r="L33" s="878"/>
      <c r="M33" s="878"/>
      <c r="N33" s="878"/>
      <c r="O33" s="878"/>
      <c r="P33" s="878"/>
      <c r="Q33" s="878"/>
      <c r="R33" s="878" t="s">
        <v>356</v>
      </c>
      <c r="S33" s="878"/>
      <c r="T33" s="878"/>
      <c r="U33" s="878"/>
      <c r="V33" s="878"/>
      <c r="W33" s="878"/>
      <c r="X33" s="878"/>
      <c r="Y33" s="878"/>
      <c r="Z33" s="878"/>
      <c r="AA33" s="878"/>
      <c r="AB33" s="878" t="s">
        <v>356</v>
      </c>
      <c r="AC33" s="878"/>
      <c r="AD33" s="878"/>
      <c r="AE33" s="878"/>
      <c r="AF33" s="878"/>
      <c r="AG33" s="878"/>
      <c r="AH33" s="878"/>
      <c r="AI33" s="878"/>
      <c r="AJ33" s="878"/>
      <c r="AK33" s="878"/>
      <c r="AL33" s="878"/>
      <c r="AM33" s="878"/>
      <c r="AN33" s="878"/>
      <c r="AO33" s="878"/>
      <c r="AP33" s="878"/>
      <c r="AQ33" s="878"/>
      <c r="AR33" s="878"/>
      <c r="AS33" s="878"/>
      <c r="AT33" s="878"/>
      <c r="AU33" s="878"/>
      <c r="AV33" s="884"/>
      <c r="AW33" s="884"/>
      <c r="AX33" s="884"/>
      <c r="AY33" s="884"/>
      <c r="AZ33" s="884"/>
      <c r="BA33" s="884"/>
      <c r="BB33" s="884"/>
      <c r="BC33" s="884"/>
      <c r="BD33" s="884"/>
      <c r="BE33" s="884"/>
      <c r="BF33" s="885"/>
    </row>
    <row r="34" spans="1:58" ht="6.95" customHeight="1" x14ac:dyDescent="0.15">
      <c r="A34" s="886" t="s">
        <v>460</v>
      </c>
      <c r="B34" s="887"/>
      <c r="C34" s="888" t="s">
        <v>461</v>
      </c>
      <c r="D34" s="889"/>
      <c r="E34" s="889"/>
      <c r="F34" s="889"/>
      <c r="G34" s="889"/>
      <c r="H34" s="889"/>
      <c r="I34" s="889"/>
      <c r="J34" s="889"/>
      <c r="K34" s="889"/>
      <c r="L34" s="889"/>
      <c r="M34" s="889"/>
      <c r="N34" s="889"/>
      <c r="O34" s="889"/>
      <c r="P34" s="889"/>
      <c r="Q34" s="889"/>
      <c r="R34" s="889"/>
      <c r="S34" s="889"/>
      <c r="T34" s="889"/>
      <c r="U34" s="889"/>
      <c r="V34" s="889"/>
      <c r="W34" s="889"/>
      <c r="X34" s="889"/>
      <c r="Y34" s="889"/>
      <c r="Z34" s="889"/>
      <c r="AA34" s="889"/>
      <c r="AB34" s="889"/>
      <c r="AC34" s="889"/>
      <c r="AD34" s="889"/>
      <c r="AE34" s="889"/>
      <c r="AF34" s="889"/>
      <c r="AG34" s="889"/>
      <c r="AH34" s="889"/>
      <c r="AI34" s="889"/>
      <c r="AJ34" s="889"/>
      <c r="AK34" s="889"/>
      <c r="AL34" s="889"/>
      <c r="AM34" s="889"/>
      <c r="AN34" s="889"/>
      <c r="AO34" s="889"/>
      <c r="AP34" s="889"/>
      <c r="AQ34" s="889"/>
      <c r="AR34" s="889"/>
      <c r="AS34" s="889"/>
      <c r="AT34" s="889"/>
      <c r="AU34" s="889"/>
      <c r="AV34" s="889"/>
      <c r="AW34" s="889"/>
      <c r="AX34" s="889"/>
      <c r="AY34" s="889"/>
      <c r="AZ34" s="889"/>
      <c r="BA34" s="889"/>
      <c r="BB34" s="889"/>
      <c r="BC34" s="889"/>
      <c r="BD34" s="889"/>
      <c r="BE34" s="889"/>
      <c r="BF34" s="890"/>
    </row>
    <row r="35" spans="1:58" ht="6.95" customHeight="1" x14ac:dyDescent="0.15">
      <c r="A35" s="886"/>
      <c r="B35" s="887"/>
      <c r="C35" s="868"/>
      <c r="D35" s="869"/>
      <c r="E35" s="869"/>
      <c r="F35" s="869"/>
      <c r="G35" s="869"/>
      <c r="H35" s="869"/>
      <c r="I35" s="869"/>
      <c r="J35" s="869"/>
      <c r="K35" s="869"/>
      <c r="L35" s="869"/>
      <c r="M35" s="869"/>
      <c r="N35" s="869"/>
      <c r="O35" s="869"/>
      <c r="P35" s="869"/>
      <c r="Q35" s="869"/>
      <c r="R35" s="869"/>
      <c r="S35" s="869"/>
      <c r="T35" s="869"/>
      <c r="U35" s="869"/>
      <c r="V35" s="869"/>
      <c r="W35" s="869"/>
      <c r="X35" s="869"/>
      <c r="Y35" s="869"/>
      <c r="Z35" s="869"/>
      <c r="AA35" s="869"/>
      <c r="AB35" s="869"/>
      <c r="AC35" s="869"/>
      <c r="AD35" s="869"/>
      <c r="AE35" s="869"/>
      <c r="AF35" s="869"/>
      <c r="AG35" s="869"/>
      <c r="AH35" s="869"/>
      <c r="AI35" s="869"/>
      <c r="AJ35" s="869"/>
      <c r="AK35" s="869"/>
      <c r="AL35" s="869"/>
      <c r="AM35" s="869"/>
      <c r="AN35" s="869"/>
      <c r="AO35" s="869"/>
      <c r="AP35" s="869"/>
      <c r="AQ35" s="869"/>
      <c r="AR35" s="869"/>
      <c r="AS35" s="869"/>
      <c r="AT35" s="869"/>
      <c r="AU35" s="869"/>
      <c r="AV35" s="869"/>
      <c r="AW35" s="869"/>
      <c r="AX35" s="869"/>
      <c r="AY35" s="869"/>
      <c r="AZ35" s="869"/>
      <c r="BA35" s="869"/>
      <c r="BB35" s="869"/>
      <c r="BC35" s="869"/>
      <c r="BD35" s="869"/>
      <c r="BE35" s="869"/>
      <c r="BF35" s="891"/>
    </row>
    <row r="36" spans="1:58" ht="13.5" customHeight="1" x14ac:dyDescent="0.15">
      <c r="A36" s="886"/>
      <c r="B36" s="887"/>
      <c r="C36" s="860" t="s">
        <v>462</v>
      </c>
      <c r="D36" s="855"/>
      <c r="E36" s="854" t="s">
        <v>463</v>
      </c>
      <c r="F36" s="855"/>
      <c r="G36" s="854" t="s">
        <v>464</v>
      </c>
      <c r="H36" s="855"/>
      <c r="I36" s="854" t="s">
        <v>465</v>
      </c>
      <c r="J36" s="855"/>
      <c r="K36" s="854" t="s">
        <v>466</v>
      </c>
      <c r="L36" s="855"/>
      <c r="M36" s="854" t="s">
        <v>467</v>
      </c>
      <c r="N36" s="855"/>
      <c r="O36" s="854" t="s">
        <v>468</v>
      </c>
      <c r="P36" s="855"/>
      <c r="Q36" s="854" t="s">
        <v>469</v>
      </c>
      <c r="R36" s="855"/>
      <c r="S36" s="854" t="s">
        <v>470</v>
      </c>
      <c r="T36" s="855"/>
      <c r="U36" s="854" t="s">
        <v>471</v>
      </c>
      <c r="V36" s="855"/>
      <c r="W36" s="854" t="s">
        <v>472</v>
      </c>
      <c r="X36" s="855"/>
      <c r="Y36" s="854" t="s">
        <v>473</v>
      </c>
      <c r="Z36" s="855"/>
      <c r="AA36" s="854" t="s">
        <v>474</v>
      </c>
      <c r="AB36" s="855"/>
      <c r="AC36" s="854" t="s">
        <v>475</v>
      </c>
      <c r="AD36" s="855"/>
      <c r="AE36" s="841" t="s">
        <v>476</v>
      </c>
      <c r="AF36" s="842"/>
      <c r="AG36" s="860" t="s">
        <v>477</v>
      </c>
      <c r="AH36" s="855"/>
      <c r="AI36" s="848" t="s">
        <v>478</v>
      </c>
      <c r="AJ36" s="849"/>
      <c r="AK36" s="854" t="s">
        <v>479</v>
      </c>
      <c r="AL36" s="855"/>
      <c r="AM36" s="848" t="s">
        <v>480</v>
      </c>
      <c r="AN36" s="849"/>
      <c r="AO36" s="848" t="s">
        <v>481</v>
      </c>
      <c r="AP36" s="849"/>
      <c r="AQ36" s="848" t="s">
        <v>482</v>
      </c>
      <c r="AR36" s="849"/>
      <c r="AS36" s="848" t="s">
        <v>483</v>
      </c>
      <c r="AT36" s="849"/>
      <c r="AU36" s="848" t="s">
        <v>484</v>
      </c>
      <c r="AV36" s="849"/>
      <c r="AW36" s="848" t="s">
        <v>485</v>
      </c>
      <c r="AX36" s="849"/>
      <c r="AY36" s="848" t="s">
        <v>486</v>
      </c>
      <c r="AZ36" s="849"/>
      <c r="BA36" s="848"/>
      <c r="BB36" s="849"/>
      <c r="BC36" s="848"/>
      <c r="BD36" s="849"/>
      <c r="BE36" s="848"/>
      <c r="BF36" s="875"/>
    </row>
    <row r="37" spans="1:58" ht="13.5" customHeight="1" x14ac:dyDescent="0.15">
      <c r="A37" s="886"/>
      <c r="B37" s="887"/>
      <c r="C37" s="861"/>
      <c r="D37" s="857"/>
      <c r="E37" s="856"/>
      <c r="F37" s="857"/>
      <c r="G37" s="856"/>
      <c r="H37" s="857"/>
      <c r="I37" s="856"/>
      <c r="J37" s="857"/>
      <c r="K37" s="856"/>
      <c r="L37" s="857"/>
      <c r="M37" s="856"/>
      <c r="N37" s="857"/>
      <c r="O37" s="856"/>
      <c r="P37" s="857"/>
      <c r="Q37" s="856"/>
      <c r="R37" s="857"/>
      <c r="S37" s="856"/>
      <c r="T37" s="857"/>
      <c r="U37" s="856"/>
      <c r="V37" s="857"/>
      <c r="W37" s="856"/>
      <c r="X37" s="857"/>
      <c r="Y37" s="856"/>
      <c r="Z37" s="857"/>
      <c r="AA37" s="856"/>
      <c r="AB37" s="857"/>
      <c r="AC37" s="856"/>
      <c r="AD37" s="857"/>
      <c r="AE37" s="843"/>
      <c r="AF37" s="844"/>
      <c r="AG37" s="861"/>
      <c r="AH37" s="857"/>
      <c r="AI37" s="850"/>
      <c r="AJ37" s="851"/>
      <c r="AK37" s="856"/>
      <c r="AL37" s="857"/>
      <c r="AM37" s="850"/>
      <c r="AN37" s="851"/>
      <c r="AO37" s="850"/>
      <c r="AP37" s="851"/>
      <c r="AQ37" s="850"/>
      <c r="AR37" s="851"/>
      <c r="AS37" s="850"/>
      <c r="AT37" s="851"/>
      <c r="AU37" s="850"/>
      <c r="AV37" s="851"/>
      <c r="AW37" s="850"/>
      <c r="AX37" s="851"/>
      <c r="AY37" s="850"/>
      <c r="AZ37" s="851"/>
      <c r="BA37" s="850"/>
      <c r="BB37" s="851"/>
      <c r="BC37" s="850"/>
      <c r="BD37" s="851"/>
      <c r="BE37" s="850"/>
      <c r="BF37" s="876"/>
    </row>
    <row r="38" spans="1:58" x14ac:dyDescent="0.15">
      <c r="A38" s="886"/>
      <c r="B38" s="887"/>
      <c r="C38" s="861"/>
      <c r="D38" s="857"/>
      <c r="E38" s="856"/>
      <c r="F38" s="857"/>
      <c r="G38" s="856"/>
      <c r="H38" s="857"/>
      <c r="I38" s="856"/>
      <c r="J38" s="857"/>
      <c r="K38" s="856"/>
      <c r="L38" s="857"/>
      <c r="M38" s="856"/>
      <c r="N38" s="857"/>
      <c r="O38" s="856"/>
      <c r="P38" s="857"/>
      <c r="Q38" s="856"/>
      <c r="R38" s="857"/>
      <c r="S38" s="856"/>
      <c r="T38" s="857"/>
      <c r="U38" s="856"/>
      <c r="V38" s="857"/>
      <c r="W38" s="856"/>
      <c r="X38" s="857"/>
      <c r="Y38" s="856"/>
      <c r="Z38" s="857"/>
      <c r="AA38" s="856"/>
      <c r="AB38" s="857"/>
      <c r="AC38" s="856"/>
      <c r="AD38" s="857"/>
      <c r="AE38" s="843"/>
      <c r="AF38" s="844"/>
      <c r="AG38" s="861"/>
      <c r="AH38" s="857"/>
      <c r="AI38" s="850"/>
      <c r="AJ38" s="851"/>
      <c r="AK38" s="856"/>
      <c r="AL38" s="857"/>
      <c r="AM38" s="850"/>
      <c r="AN38" s="851"/>
      <c r="AO38" s="850"/>
      <c r="AP38" s="851"/>
      <c r="AQ38" s="850"/>
      <c r="AR38" s="851"/>
      <c r="AS38" s="850"/>
      <c r="AT38" s="851"/>
      <c r="AU38" s="850"/>
      <c r="AV38" s="851"/>
      <c r="AW38" s="850"/>
      <c r="AX38" s="851"/>
      <c r="AY38" s="850"/>
      <c r="AZ38" s="851"/>
      <c r="BA38" s="850"/>
      <c r="BB38" s="851"/>
      <c r="BC38" s="850"/>
      <c r="BD38" s="851"/>
      <c r="BE38" s="850"/>
      <c r="BF38" s="876"/>
    </row>
    <row r="39" spans="1:58" x14ac:dyDescent="0.15">
      <c r="A39" s="886"/>
      <c r="B39" s="887"/>
      <c r="C39" s="861"/>
      <c r="D39" s="857"/>
      <c r="E39" s="856"/>
      <c r="F39" s="857"/>
      <c r="G39" s="856"/>
      <c r="H39" s="857"/>
      <c r="I39" s="856"/>
      <c r="J39" s="857"/>
      <c r="K39" s="856"/>
      <c r="L39" s="857"/>
      <c r="M39" s="856"/>
      <c r="N39" s="857"/>
      <c r="O39" s="856"/>
      <c r="P39" s="857"/>
      <c r="Q39" s="856"/>
      <c r="R39" s="857"/>
      <c r="S39" s="856"/>
      <c r="T39" s="857"/>
      <c r="U39" s="856"/>
      <c r="V39" s="857"/>
      <c r="W39" s="856"/>
      <c r="X39" s="857"/>
      <c r="Y39" s="856"/>
      <c r="Z39" s="857"/>
      <c r="AA39" s="856"/>
      <c r="AB39" s="857"/>
      <c r="AC39" s="856"/>
      <c r="AD39" s="857"/>
      <c r="AE39" s="843"/>
      <c r="AF39" s="844"/>
      <c r="AG39" s="861"/>
      <c r="AH39" s="857"/>
      <c r="AI39" s="850"/>
      <c r="AJ39" s="851"/>
      <c r="AK39" s="856"/>
      <c r="AL39" s="857"/>
      <c r="AM39" s="850"/>
      <c r="AN39" s="851"/>
      <c r="AO39" s="850"/>
      <c r="AP39" s="851"/>
      <c r="AQ39" s="850"/>
      <c r="AR39" s="851"/>
      <c r="AS39" s="850"/>
      <c r="AT39" s="851"/>
      <c r="AU39" s="850"/>
      <c r="AV39" s="851"/>
      <c r="AW39" s="850"/>
      <c r="AX39" s="851"/>
      <c r="AY39" s="850"/>
      <c r="AZ39" s="851"/>
      <c r="BA39" s="850"/>
      <c r="BB39" s="851"/>
      <c r="BC39" s="850"/>
      <c r="BD39" s="851"/>
      <c r="BE39" s="850"/>
      <c r="BF39" s="876"/>
    </row>
    <row r="40" spans="1:58" x14ac:dyDescent="0.15">
      <c r="A40" s="886"/>
      <c r="B40" s="887"/>
      <c r="C40" s="861"/>
      <c r="D40" s="857"/>
      <c r="E40" s="856"/>
      <c r="F40" s="857"/>
      <c r="G40" s="856"/>
      <c r="H40" s="857"/>
      <c r="I40" s="856"/>
      <c r="J40" s="857"/>
      <c r="K40" s="856"/>
      <c r="L40" s="857"/>
      <c r="M40" s="856"/>
      <c r="N40" s="857"/>
      <c r="O40" s="856"/>
      <c r="P40" s="857"/>
      <c r="Q40" s="856"/>
      <c r="R40" s="857"/>
      <c r="S40" s="856"/>
      <c r="T40" s="857"/>
      <c r="U40" s="856"/>
      <c r="V40" s="857"/>
      <c r="W40" s="856"/>
      <c r="X40" s="857"/>
      <c r="Y40" s="856"/>
      <c r="Z40" s="857"/>
      <c r="AA40" s="856"/>
      <c r="AB40" s="857"/>
      <c r="AC40" s="856"/>
      <c r="AD40" s="857"/>
      <c r="AE40" s="843"/>
      <c r="AF40" s="844"/>
      <c r="AG40" s="861"/>
      <c r="AH40" s="857"/>
      <c r="AI40" s="850"/>
      <c r="AJ40" s="851"/>
      <c r="AK40" s="856"/>
      <c r="AL40" s="857"/>
      <c r="AM40" s="850"/>
      <c r="AN40" s="851"/>
      <c r="AO40" s="850"/>
      <c r="AP40" s="851"/>
      <c r="AQ40" s="850"/>
      <c r="AR40" s="851"/>
      <c r="AS40" s="850"/>
      <c r="AT40" s="851"/>
      <c r="AU40" s="850"/>
      <c r="AV40" s="851"/>
      <c r="AW40" s="850"/>
      <c r="AX40" s="851"/>
      <c r="AY40" s="850"/>
      <c r="AZ40" s="851"/>
      <c r="BA40" s="850"/>
      <c r="BB40" s="851"/>
      <c r="BC40" s="850"/>
      <c r="BD40" s="851"/>
      <c r="BE40" s="850"/>
      <c r="BF40" s="876"/>
    </row>
    <row r="41" spans="1:58" x14ac:dyDescent="0.15">
      <c r="A41" s="886"/>
      <c r="B41" s="887"/>
      <c r="C41" s="861"/>
      <c r="D41" s="857"/>
      <c r="E41" s="856"/>
      <c r="F41" s="857"/>
      <c r="G41" s="856"/>
      <c r="H41" s="857"/>
      <c r="I41" s="856"/>
      <c r="J41" s="857"/>
      <c r="K41" s="856"/>
      <c r="L41" s="857"/>
      <c r="M41" s="856"/>
      <c r="N41" s="857"/>
      <c r="O41" s="856"/>
      <c r="P41" s="857"/>
      <c r="Q41" s="856"/>
      <c r="R41" s="857"/>
      <c r="S41" s="856"/>
      <c r="T41" s="857"/>
      <c r="U41" s="856"/>
      <c r="V41" s="857"/>
      <c r="W41" s="856"/>
      <c r="X41" s="857"/>
      <c r="Y41" s="856"/>
      <c r="Z41" s="857"/>
      <c r="AA41" s="856"/>
      <c r="AB41" s="857"/>
      <c r="AC41" s="856"/>
      <c r="AD41" s="857"/>
      <c r="AE41" s="843"/>
      <c r="AF41" s="844"/>
      <c r="AG41" s="861"/>
      <c r="AH41" s="857"/>
      <c r="AI41" s="850"/>
      <c r="AJ41" s="851"/>
      <c r="AK41" s="856"/>
      <c r="AL41" s="857"/>
      <c r="AM41" s="850"/>
      <c r="AN41" s="851"/>
      <c r="AO41" s="850"/>
      <c r="AP41" s="851"/>
      <c r="AQ41" s="850"/>
      <c r="AR41" s="851"/>
      <c r="AS41" s="850"/>
      <c r="AT41" s="851"/>
      <c r="AU41" s="850"/>
      <c r="AV41" s="851"/>
      <c r="AW41" s="850"/>
      <c r="AX41" s="851"/>
      <c r="AY41" s="850"/>
      <c r="AZ41" s="851"/>
      <c r="BA41" s="850"/>
      <c r="BB41" s="851"/>
      <c r="BC41" s="850"/>
      <c r="BD41" s="851"/>
      <c r="BE41" s="850"/>
      <c r="BF41" s="876"/>
    </row>
    <row r="42" spans="1:58" ht="13.5" customHeight="1" x14ac:dyDescent="0.15">
      <c r="A42" s="886"/>
      <c r="B42" s="887"/>
      <c r="C42" s="862"/>
      <c r="D42" s="859"/>
      <c r="E42" s="858"/>
      <c r="F42" s="859"/>
      <c r="G42" s="858"/>
      <c r="H42" s="859"/>
      <c r="I42" s="858"/>
      <c r="J42" s="859"/>
      <c r="K42" s="858"/>
      <c r="L42" s="859"/>
      <c r="M42" s="858"/>
      <c r="N42" s="859"/>
      <c r="O42" s="858"/>
      <c r="P42" s="859"/>
      <c r="Q42" s="858"/>
      <c r="R42" s="859"/>
      <c r="S42" s="858"/>
      <c r="T42" s="859"/>
      <c r="U42" s="858"/>
      <c r="V42" s="859"/>
      <c r="W42" s="858"/>
      <c r="X42" s="859"/>
      <c r="Y42" s="858"/>
      <c r="Z42" s="859"/>
      <c r="AA42" s="858"/>
      <c r="AB42" s="859"/>
      <c r="AC42" s="858"/>
      <c r="AD42" s="859"/>
      <c r="AE42" s="845"/>
      <c r="AF42" s="846"/>
      <c r="AG42" s="862"/>
      <c r="AH42" s="859"/>
      <c r="AI42" s="852"/>
      <c r="AJ42" s="853"/>
      <c r="AK42" s="858"/>
      <c r="AL42" s="859"/>
      <c r="AM42" s="852"/>
      <c r="AN42" s="853"/>
      <c r="AO42" s="852"/>
      <c r="AP42" s="853"/>
      <c r="AQ42" s="852"/>
      <c r="AR42" s="853"/>
      <c r="AS42" s="852"/>
      <c r="AT42" s="853"/>
      <c r="AU42" s="852"/>
      <c r="AV42" s="853"/>
      <c r="AW42" s="852"/>
      <c r="AX42" s="853"/>
      <c r="AY42" s="852"/>
      <c r="AZ42" s="853"/>
      <c r="BA42" s="852"/>
      <c r="BB42" s="853"/>
      <c r="BC42" s="852"/>
      <c r="BD42" s="853"/>
      <c r="BE42" s="852"/>
      <c r="BF42" s="877"/>
    </row>
    <row r="43" spans="1:58" ht="13.5" customHeight="1" x14ac:dyDescent="0.15">
      <c r="A43" s="886"/>
      <c r="B43" s="887"/>
      <c r="C43" s="832" t="s">
        <v>487</v>
      </c>
      <c r="D43" s="833"/>
      <c r="E43" s="832" t="s">
        <v>487</v>
      </c>
      <c r="F43" s="833"/>
      <c r="G43" s="832" t="s">
        <v>487</v>
      </c>
      <c r="H43" s="833"/>
      <c r="I43" s="832" t="s">
        <v>487</v>
      </c>
      <c r="J43" s="833"/>
      <c r="K43" s="832" t="s">
        <v>487</v>
      </c>
      <c r="L43" s="833"/>
      <c r="M43" s="832" t="s">
        <v>487</v>
      </c>
      <c r="N43" s="833"/>
      <c r="O43" s="832" t="s">
        <v>487</v>
      </c>
      <c r="P43" s="833"/>
      <c r="Q43" s="832" t="s">
        <v>487</v>
      </c>
      <c r="R43" s="833"/>
      <c r="S43" s="832" t="s">
        <v>487</v>
      </c>
      <c r="T43" s="833"/>
      <c r="U43" s="832" t="s">
        <v>487</v>
      </c>
      <c r="V43" s="833"/>
      <c r="W43" s="832" t="s">
        <v>487</v>
      </c>
      <c r="X43" s="833"/>
      <c r="Y43" s="832" t="s">
        <v>487</v>
      </c>
      <c r="Z43" s="833"/>
      <c r="AA43" s="832" t="s">
        <v>487</v>
      </c>
      <c r="AB43" s="833"/>
      <c r="AC43" s="832" t="s">
        <v>487</v>
      </c>
      <c r="AD43" s="833"/>
      <c r="AE43" s="832" t="s">
        <v>487</v>
      </c>
      <c r="AF43" s="833"/>
      <c r="AG43" s="832" t="s">
        <v>337</v>
      </c>
      <c r="AH43" s="833"/>
      <c r="AI43" s="832" t="s">
        <v>487</v>
      </c>
      <c r="AJ43" s="833"/>
      <c r="AK43" s="832" t="s">
        <v>487</v>
      </c>
      <c r="AL43" s="833"/>
      <c r="AM43" s="832" t="s">
        <v>487</v>
      </c>
      <c r="AN43" s="833"/>
      <c r="AO43" s="832" t="s">
        <v>487</v>
      </c>
      <c r="AP43" s="833"/>
      <c r="AQ43" s="832" t="s">
        <v>487</v>
      </c>
      <c r="AR43" s="833"/>
      <c r="AS43" s="832" t="s">
        <v>487</v>
      </c>
      <c r="AT43" s="833"/>
      <c r="AU43" s="832" t="s">
        <v>487</v>
      </c>
      <c r="AV43" s="833"/>
      <c r="AW43" s="832" t="s">
        <v>487</v>
      </c>
      <c r="AX43" s="833"/>
      <c r="AY43" s="832" t="s">
        <v>487</v>
      </c>
      <c r="AZ43" s="833"/>
      <c r="BA43" s="863" t="s">
        <v>488</v>
      </c>
      <c r="BB43" s="818"/>
      <c r="BC43" s="863" t="s">
        <v>488</v>
      </c>
      <c r="BD43" s="818"/>
      <c r="BE43" s="863" t="s">
        <v>488</v>
      </c>
      <c r="BF43" s="821"/>
    </row>
    <row r="44" spans="1:58" ht="6.95" customHeight="1" x14ac:dyDescent="0.15">
      <c r="A44" s="886"/>
      <c r="B44" s="887"/>
      <c r="C44" s="834"/>
      <c r="D44" s="835"/>
      <c r="E44" s="834"/>
      <c r="F44" s="835"/>
      <c r="G44" s="834"/>
      <c r="H44" s="835"/>
      <c r="I44" s="834"/>
      <c r="J44" s="835"/>
      <c r="K44" s="834"/>
      <c r="L44" s="835"/>
      <c r="M44" s="834"/>
      <c r="N44" s="835"/>
      <c r="O44" s="834"/>
      <c r="P44" s="835"/>
      <c r="Q44" s="834"/>
      <c r="R44" s="835"/>
      <c r="S44" s="834"/>
      <c r="T44" s="835"/>
      <c r="U44" s="834"/>
      <c r="V44" s="835"/>
      <c r="W44" s="834"/>
      <c r="X44" s="835"/>
      <c r="Y44" s="834"/>
      <c r="Z44" s="835"/>
      <c r="AA44" s="834"/>
      <c r="AB44" s="835"/>
      <c r="AC44" s="834"/>
      <c r="AD44" s="835"/>
      <c r="AE44" s="834"/>
      <c r="AF44" s="835"/>
      <c r="AG44" s="834"/>
      <c r="AH44" s="835"/>
      <c r="AI44" s="834"/>
      <c r="AJ44" s="835"/>
      <c r="AK44" s="834"/>
      <c r="AL44" s="835"/>
      <c r="AM44" s="834"/>
      <c r="AN44" s="835"/>
      <c r="AO44" s="834"/>
      <c r="AP44" s="835"/>
      <c r="AQ44" s="834"/>
      <c r="AR44" s="835"/>
      <c r="AS44" s="834"/>
      <c r="AT44" s="835"/>
      <c r="AU44" s="834"/>
      <c r="AV44" s="835"/>
      <c r="AW44" s="834"/>
      <c r="AX44" s="835"/>
      <c r="AY44" s="834"/>
      <c r="AZ44" s="835"/>
      <c r="BA44" s="864"/>
      <c r="BB44" s="820"/>
      <c r="BC44" s="864"/>
      <c r="BD44" s="820"/>
      <c r="BE44" s="864"/>
      <c r="BF44" s="822"/>
    </row>
    <row r="45" spans="1:58" ht="6.95" customHeight="1" x14ac:dyDescent="0.15">
      <c r="A45" s="886"/>
      <c r="B45" s="887"/>
      <c r="C45" s="865" t="s">
        <v>489</v>
      </c>
      <c r="D45" s="866"/>
      <c r="E45" s="866"/>
      <c r="F45" s="866"/>
      <c r="G45" s="866"/>
      <c r="H45" s="866"/>
      <c r="I45" s="866"/>
      <c r="J45" s="866"/>
      <c r="K45" s="866"/>
      <c r="L45" s="866"/>
      <c r="M45" s="866"/>
      <c r="N45" s="866"/>
      <c r="O45" s="866"/>
      <c r="P45" s="866"/>
      <c r="Q45" s="866"/>
      <c r="R45" s="866"/>
      <c r="S45" s="866"/>
      <c r="T45" s="866"/>
      <c r="U45" s="866"/>
      <c r="V45" s="866"/>
      <c r="W45" s="866"/>
      <c r="X45" s="866"/>
      <c r="Y45" s="866"/>
      <c r="Z45" s="867"/>
      <c r="AA45" s="866" t="s">
        <v>490</v>
      </c>
      <c r="AB45" s="866"/>
      <c r="AC45" s="866"/>
      <c r="AD45" s="866"/>
      <c r="AE45" s="866"/>
      <c r="AF45" s="866"/>
      <c r="AG45" s="866"/>
      <c r="AH45" s="866"/>
      <c r="AI45" s="866"/>
      <c r="AJ45" s="867"/>
      <c r="AK45" s="865" t="s">
        <v>491</v>
      </c>
      <c r="AL45" s="866"/>
      <c r="AM45" s="866"/>
      <c r="AN45" s="866"/>
      <c r="AO45" s="866"/>
      <c r="AP45" s="867"/>
      <c r="AQ45" s="866" t="s">
        <v>492</v>
      </c>
      <c r="AR45" s="866"/>
      <c r="AS45" s="866"/>
      <c r="AT45" s="867"/>
      <c r="AU45" s="871"/>
      <c r="AV45" s="871"/>
      <c r="AW45" s="871"/>
      <c r="AX45" s="871"/>
      <c r="AY45" s="871"/>
      <c r="AZ45" s="871"/>
      <c r="BA45" s="871"/>
      <c r="BB45" s="871"/>
      <c r="BC45" s="871"/>
      <c r="BD45" s="871"/>
      <c r="BE45" s="871"/>
      <c r="BF45" s="872"/>
    </row>
    <row r="46" spans="1:58" ht="8.1" customHeight="1" x14ac:dyDescent="0.15">
      <c r="A46" s="886"/>
      <c r="B46" s="887"/>
      <c r="C46" s="868"/>
      <c r="D46" s="869"/>
      <c r="E46" s="869"/>
      <c r="F46" s="869"/>
      <c r="G46" s="869"/>
      <c r="H46" s="869"/>
      <c r="I46" s="869"/>
      <c r="J46" s="869"/>
      <c r="K46" s="869"/>
      <c r="L46" s="869"/>
      <c r="M46" s="869"/>
      <c r="N46" s="869"/>
      <c r="O46" s="869"/>
      <c r="P46" s="869"/>
      <c r="Q46" s="869"/>
      <c r="R46" s="869"/>
      <c r="S46" s="869"/>
      <c r="T46" s="869"/>
      <c r="U46" s="869"/>
      <c r="V46" s="869"/>
      <c r="W46" s="869"/>
      <c r="X46" s="869"/>
      <c r="Y46" s="869"/>
      <c r="Z46" s="870"/>
      <c r="AA46" s="869"/>
      <c r="AB46" s="869"/>
      <c r="AC46" s="869"/>
      <c r="AD46" s="869"/>
      <c r="AE46" s="869"/>
      <c r="AF46" s="869"/>
      <c r="AG46" s="869"/>
      <c r="AH46" s="869"/>
      <c r="AI46" s="869"/>
      <c r="AJ46" s="870"/>
      <c r="AK46" s="868"/>
      <c r="AL46" s="869"/>
      <c r="AM46" s="869"/>
      <c r="AN46" s="869"/>
      <c r="AO46" s="869"/>
      <c r="AP46" s="870"/>
      <c r="AQ46" s="869"/>
      <c r="AR46" s="869"/>
      <c r="AS46" s="869"/>
      <c r="AT46" s="870"/>
      <c r="AU46" s="873"/>
      <c r="AV46" s="873"/>
      <c r="AW46" s="873"/>
      <c r="AX46" s="873"/>
      <c r="AY46" s="873"/>
      <c r="AZ46" s="873"/>
      <c r="BA46" s="873"/>
      <c r="BB46" s="873"/>
      <c r="BC46" s="873"/>
      <c r="BD46" s="873"/>
      <c r="BE46" s="873"/>
      <c r="BF46" s="874"/>
    </row>
    <row r="47" spans="1:58" ht="13.5" customHeight="1" x14ac:dyDescent="0.15">
      <c r="A47" s="886"/>
      <c r="B47" s="887"/>
      <c r="C47" s="854" t="s">
        <v>493</v>
      </c>
      <c r="D47" s="855"/>
      <c r="E47" s="854" t="s">
        <v>494</v>
      </c>
      <c r="F47" s="855"/>
      <c r="G47" s="854" t="s">
        <v>82</v>
      </c>
      <c r="H47" s="855"/>
      <c r="I47" s="854" t="s">
        <v>30</v>
      </c>
      <c r="J47" s="855"/>
      <c r="K47" s="854" t="s">
        <v>495</v>
      </c>
      <c r="L47" s="855"/>
      <c r="M47" s="854" t="s">
        <v>496</v>
      </c>
      <c r="N47" s="855"/>
      <c r="O47" s="854" t="s">
        <v>497</v>
      </c>
      <c r="P47" s="855"/>
      <c r="Q47" s="854" t="s">
        <v>498</v>
      </c>
      <c r="R47" s="855"/>
      <c r="S47" s="854" t="s">
        <v>499</v>
      </c>
      <c r="T47" s="855"/>
      <c r="U47" s="848" t="s">
        <v>500</v>
      </c>
      <c r="V47" s="849"/>
      <c r="W47" s="854" t="s">
        <v>501</v>
      </c>
      <c r="X47" s="855"/>
      <c r="Y47" s="841" t="s">
        <v>484</v>
      </c>
      <c r="Z47" s="842"/>
      <c r="AA47" s="854" t="s">
        <v>502</v>
      </c>
      <c r="AB47" s="855"/>
      <c r="AC47" s="854" t="s">
        <v>503</v>
      </c>
      <c r="AD47" s="855"/>
      <c r="AE47" s="841" t="s">
        <v>484</v>
      </c>
      <c r="AF47" s="842"/>
      <c r="AG47" s="860" t="s">
        <v>504</v>
      </c>
      <c r="AH47" s="855"/>
      <c r="AI47" s="860" t="s">
        <v>505</v>
      </c>
      <c r="AJ47" s="855"/>
      <c r="AK47" s="848" t="s">
        <v>506</v>
      </c>
      <c r="AL47" s="849"/>
      <c r="AM47" s="848" t="s">
        <v>507</v>
      </c>
      <c r="AN47" s="849"/>
      <c r="AO47" s="848" t="s">
        <v>508</v>
      </c>
      <c r="AP47" s="849"/>
      <c r="AQ47" s="854" t="s">
        <v>484</v>
      </c>
      <c r="AR47" s="855"/>
      <c r="AS47" s="848" t="s">
        <v>506</v>
      </c>
      <c r="AT47" s="849"/>
      <c r="AU47" s="840"/>
      <c r="AV47" s="840"/>
      <c r="AW47" s="840"/>
      <c r="AX47" s="840"/>
      <c r="AY47" s="840"/>
      <c r="AZ47" s="840"/>
      <c r="BA47" s="840"/>
      <c r="BB47" s="840"/>
      <c r="BC47" s="840"/>
      <c r="BD47" s="840"/>
      <c r="BE47" s="840"/>
      <c r="BF47" s="847"/>
    </row>
    <row r="48" spans="1:58" ht="13.5" customHeight="1" x14ac:dyDescent="0.15">
      <c r="A48" s="886"/>
      <c r="B48" s="887"/>
      <c r="C48" s="856"/>
      <c r="D48" s="857"/>
      <c r="E48" s="856"/>
      <c r="F48" s="857"/>
      <c r="G48" s="856"/>
      <c r="H48" s="857"/>
      <c r="I48" s="856"/>
      <c r="J48" s="857"/>
      <c r="K48" s="856"/>
      <c r="L48" s="857"/>
      <c r="M48" s="856"/>
      <c r="N48" s="857"/>
      <c r="O48" s="856"/>
      <c r="P48" s="857"/>
      <c r="Q48" s="856"/>
      <c r="R48" s="857"/>
      <c r="S48" s="856"/>
      <c r="T48" s="857"/>
      <c r="U48" s="850"/>
      <c r="V48" s="851"/>
      <c r="W48" s="856"/>
      <c r="X48" s="857"/>
      <c r="Y48" s="843"/>
      <c r="Z48" s="844"/>
      <c r="AA48" s="856"/>
      <c r="AB48" s="857"/>
      <c r="AC48" s="856"/>
      <c r="AD48" s="857"/>
      <c r="AE48" s="843"/>
      <c r="AF48" s="844"/>
      <c r="AG48" s="861"/>
      <c r="AH48" s="857"/>
      <c r="AI48" s="861"/>
      <c r="AJ48" s="857"/>
      <c r="AK48" s="850"/>
      <c r="AL48" s="851"/>
      <c r="AM48" s="850"/>
      <c r="AN48" s="851"/>
      <c r="AO48" s="850"/>
      <c r="AP48" s="851"/>
      <c r="AQ48" s="856"/>
      <c r="AR48" s="857"/>
      <c r="AS48" s="850"/>
      <c r="AT48" s="851"/>
      <c r="AU48" s="840"/>
      <c r="AV48" s="840"/>
      <c r="AW48" s="840"/>
      <c r="AX48" s="840"/>
      <c r="AY48" s="840"/>
      <c r="AZ48" s="840"/>
      <c r="BA48" s="840"/>
      <c r="BB48" s="840"/>
      <c r="BC48" s="840"/>
      <c r="BD48" s="840"/>
      <c r="BE48" s="840"/>
      <c r="BF48" s="847"/>
    </row>
    <row r="49" spans="1:58" ht="13.5" customHeight="1" x14ac:dyDescent="0.15">
      <c r="A49" s="886"/>
      <c r="B49" s="887"/>
      <c r="C49" s="856"/>
      <c r="D49" s="857"/>
      <c r="E49" s="856"/>
      <c r="F49" s="857"/>
      <c r="G49" s="856"/>
      <c r="H49" s="857"/>
      <c r="I49" s="856"/>
      <c r="J49" s="857"/>
      <c r="K49" s="856"/>
      <c r="L49" s="857"/>
      <c r="M49" s="856"/>
      <c r="N49" s="857"/>
      <c r="O49" s="856"/>
      <c r="P49" s="857"/>
      <c r="Q49" s="856"/>
      <c r="R49" s="857"/>
      <c r="S49" s="856"/>
      <c r="T49" s="857"/>
      <c r="U49" s="850"/>
      <c r="V49" s="851"/>
      <c r="W49" s="856"/>
      <c r="X49" s="857"/>
      <c r="Y49" s="843"/>
      <c r="Z49" s="844"/>
      <c r="AA49" s="856"/>
      <c r="AB49" s="857"/>
      <c r="AC49" s="856"/>
      <c r="AD49" s="857"/>
      <c r="AE49" s="843"/>
      <c r="AF49" s="844"/>
      <c r="AG49" s="861"/>
      <c r="AH49" s="857"/>
      <c r="AI49" s="861"/>
      <c r="AJ49" s="857"/>
      <c r="AK49" s="850"/>
      <c r="AL49" s="851"/>
      <c r="AM49" s="850"/>
      <c r="AN49" s="851"/>
      <c r="AO49" s="850"/>
      <c r="AP49" s="851"/>
      <c r="AQ49" s="856"/>
      <c r="AR49" s="857"/>
      <c r="AS49" s="850"/>
      <c r="AT49" s="851"/>
      <c r="AU49" s="840"/>
      <c r="AV49" s="840"/>
      <c r="AW49" s="840"/>
      <c r="AX49" s="840"/>
      <c r="AY49" s="840"/>
      <c r="AZ49" s="840"/>
      <c r="BA49" s="840"/>
      <c r="BB49" s="840"/>
      <c r="BC49" s="840"/>
      <c r="BD49" s="840"/>
      <c r="BE49" s="840"/>
      <c r="BF49" s="847"/>
    </row>
    <row r="50" spans="1:58" ht="13.5" customHeight="1" x14ac:dyDescent="0.15">
      <c r="A50" s="886"/>
      <c r="B50" s="887"/>
      <c r="C50" s="856"/>
      <c r="D50" s="857"/>
      <c r="E50" s="856"/>
      <c r="F50" s="857"/>
      <c r="G50" s="856"/>
      <c r="H50" s="857"/>
      <c r="I50" s="856"/>
      <c r="J50" s="857"/>
      <c r="K50" s="856"/>
      <c r="L50" s="857"/>
      <c r="M50" s="856"/>
      <c r="N50" s="857"/>
      <c r="O50" s="856"/>
      <c r="P50" s="857"/>
      <c r="Q50" s="856"/>
      <c r="R50" s="857"/>
      <c r="S50" s="856"/>
      <c r="T50" s="857"/>
      <c r="U50" s="850"/>
      <c r="V50" s="851"/>
      <c r="W50" s="856"/>
      <c r="X50" s="857"/>
      <c r="Y50" s="843"/>
      <c r="Z50" s="844"/>
      <c r="AA50" s="856"/>
      <c r="AB50" s="857"/>
      <c r="AC50" s="856"/>
      <c r="AD50" s="857"/>
      <c r="AE50" s="843"/>
      <c r="AF50" s="844"/>
      <c r="AG50" s="861"/>
      <c r="AH50" s="857"/>
      <c r="AI50" s="861"/>
      <c r="AJ50" s="857"/>
      <c r="AK50" s="850"/>
      <c r="AL50" s="851"/>
      <c r="AM50" s="850"/>
      <c r="AN50" s="851"/>
      <c r="AO50" s="850"/>
      <c r="AP50" s="851"/>
      <c r="AQ50" s="856"/>
      <c r="AR50" s="857"/>
      <c r="AS50" s="850"/>
      <c r="AT50" s="851"/>
      <c r="AU50" s="840"/>
      <c r="AV50" s="840"/>
      <c r="AW50" s="840"/>
      <c r="AX50" s="840"/>
      <c r="AY50" s="840"/>
      <c r="AZ50" s="840"/>
      <c r="BA50" s="840"/>
      <c r="BB50" s="840"/>
      <c r="BC50" s="840"/>
      <c r="BD50" s="840"/>
      <c r="BE50" s="840"/>
      <c r="BF50" s="847"/>
    </row>
    <row r="51" spans="1:58" ht="13.5" customHeight="1" x14ac:dyDescent="0.15">
      <c r="A51" s="886"/>
      <c r="B51" s="887"/>
      <c r="C51" s="856"/>
      <c r="D51" s="857"/>
      <c r="E51" s="856"/>
      <c r="F51" s="857"/>
      <c r="G51" s="856"/>
      <c r="H51" s="857"/>
      <c r="I51" s="856"/>
      <c r="J51" s="857"/>
      <c r="K51" s="856"/>
      <c r="L51" s="857"/>
      <c r="M51" s="856"/>
      <c r="N51" s="857"/>
      <c r="O51" s="856"/>
      <c r="P51" s="857"/>
      <c r="Q51" s="856"/>
      <c r="R51" s="857"/>
      <c r="S51" s="856"/>
      <c r="T51" s="857"/>
      <c r="U51" s="850"/>
      <c r="V51" s="851"/>
      <c r="W51" s="856"/>
      <c r="X51" s="857"/>
      <c r="Y51" s="843"/>
      <c r="Z51" s="844"/>
      <c r="AA51" s="856"/>
      <c r="AB51" s="857"/>
      <c r="AC51" s="856"/>
      <c r="AD51" s="857"/>
      <c r="AE51" s="843"/>
      <c r="AF51" s="844"/>
      <c r="AG51" s="861"/>
      <c r="AH51" s="857"/>
      <c r="AI51" s="861"/>
      <c r="AJ51" s="857"/>
      <c r="AK51" s="850"/>
      <c r="AL51" s="851"/>
      <c r="AM51" s="850"/>
      <c r="AN51" s="851"/>
      <c r="AO51" s="850"/>
      <c r="AP51" s="851"/>
      <c r="AQ51" s="856"/>
      <c r="AR51" s="857"/>
      <c r="AS51" s="850"/>
      <c r="AT51" s="851"/>
      <c r="AU51" s="840"/>
      <c r="AV51" s="840"/>
      <c r="AW51" s="840"/>
      <c r="AX51" s="840"/>
      <c r="AY51" s="840"/>
      <c r="AZ51" s="840"/>
      <c r="BA51" s="840"/>
      <c r="BB51" s="840"/>
      <c r="BC51" s="840"/>
      <c r="BD51" s="840"/>
      <c r="BE51" s="840"/>
      <c r="BF51" s="847"/>
    </row>
    <row r="52" spans="1:58" ht="13.5" customHeight="1" x14ac:dyDescent="0.15">
      <c r="A52" s="886"/>
      <c r="B52" s="887"/>
      <c r="C52" s="856"/>
      <c r="D52" s="857"/>
      <c r="E52" s="856"/>
      <c r="F52" s="857"/>
      <c r="G52" s="856"/>
      <c r="H52" s="857"/>
      <c r="I52" s="856"/>
      <c r="J52" s="857"/>
      <c r="K52" s="856"/>
      <c r="L52" s="857"/>
      <c r="M52" s="856"/>
      <c r="N52" s="857"/>
      <c r="O52" s="856"/>
      <c r="P52" s="857"/>
      <c r="Q52" s="856"/>
      <c r="R52" s="857"/>
      <c r="S52" s="856"/>
      <c r="T52" s="857"/>
      <c r="U52" s="850"/>
      <c r="V52" s="851"/>
      <c r="W52" s="856"/>
      <c r="X52" s="857"/>
      <c r="Y52" s="843"/>
      <c r="Z52" s="844"/>
      <c r="AA52" s="856"/>
      <c r="AB52" s="857"/>
      <c r="AC52" s="856"/>
      <c r="AD52" s="857"/>
      <c r="AE52" s="843"/>
      <c r="AF52" s="844"/>
      <c r="AG52" s="861"/>
      <c r="AH52" s="857"/>
      <c r="AI52" s="861"/>
      <c r="AJ52" s="857"/>
      <c r="AK52" s="850"/>
      <c r="AL52" s="851"/>
      <c r="AM52" s="850"/>
      <c r="AN52" s="851"/>
      <c r="AO52" s="850"/>
      <c r="AP52" s="851"/>
      <c r="AQ52" s="856"/>
      <c r="AR52" s="857"/>
      <c r="AS52" s="850"/>
      <c r="AT52" s="851"/>
      <c r="AU52" s="840"/>
      <c r="AV52" s="840"/>
      <c r="AW52" s="840"/>
      <c r="AX52" s="840"/>
      <c r="AY52" s="840"/>
      <c r="AZ52" s="840"/>
      <c r="BA52" s="840"/>
      <c r="BB52" s="840"/>
      <c r="BC52" s="840"/>
      <c r="BD52" s="840"/>
      <c r="BE52" s="840"/>
      <c r="BF52" s="847"/>
    </row>
    <row r="53" spans="1:58" ht="13.5" customHeight="1" x14ac:dyDescent="0.15">
      <c r="A53" s="886"/>
      <c r="B53" s="887"/>
      <c r="C53" s="858"/>
      <c r="D53" s="859"/>
      <c r="E53" s="858"/>
      <c r="F53" s="859"/>
      <c r="G53" s="858"/>
      <c r="H53" s="859"/>
      <c r="I53" s="858"/>
      <c r="J53" s="859"/>
      <c r="K53" s="858"/>
      <c r="L53" s="859"/>
      <c r="M53" s="858"/>
      <c r="N53" s="859"/>
      <c r="O53" s="858"/>
      <c r="P53" s="859"/>
      <c r="Q53" s="858"/>
      <c r="R53" s="859"/>
      <c r="S53" s="858"/>
      <c r="T53" s="859"/>
      <c r="U53" s="852"/>
      <c r="V53" s="853"/>
      <c r="W53" s="858"/>
      <c r="X53" s="859"/>
      <c r="Y53" s="845"/>
      <c r="Z53" s="846"/>
      <c r="AA53" s="858"/>
      <c r="AB53" s="859"/>
      <c r="AC53" s="858"/>
      <c r="AD53" s="859"/>
      <c r="AE53" s="845"/>
      <c r="AF53" s="846"/>
      <c r="AG53" s="862"/>
      <c r="AH53" s="859"/>
      <c r="AI53" s="862"/>
      <c r="AJ53" s="859"/>
      <c r="AK53" s="852"/>
      <c r="AL53" s="853"/>
      <c r="AM53" s="852"/>
      <c r="AN53" s="853"/>
      <c r="AO53" s="852"/>
      <c r="AP53" s="853"/>
      <c r="AQ53" s="858"/>
      <c r="AR53" s="859"/>
      <c r="AS53" s="852"/>
      <c r="AT53" s="853"/>
      <c r="AU53" s="840"/>
      <c r="AV53" s="840"/>
      <c r="AW53" s="840"/>
      <c r="AX53" s="840"/>
      <c r="AY53" s="840"/>
      <c r="AZ53" s="840"/>
      <c r="BA53" s="840"/>
      <c r="BB53" s="840"/>
      <c r="BC53" s="840"/>
      <c r="BD53" s="840"/>
      <c r="BE53" s="840"/>
      <c r="BF53" s="847"/>
    </row>
    <row r="54" spans="1:58" ht="8.1" customHeight="1" x14ac:dyDescent="0.15">
      <c r="A54" s="886"/>
      <c r="B54" s="887"/>
      <c r="C54" s="832" t="s">
        <v>148</v>
      </c>
      <c r="D54" s="833"/>
      <c r="E54" s="832" t="s">
        <v>487</v>
      </c>
      <c r="F54" s="833"/>
      <c r="G54" s="832" t="s">
        <v>487</v>
      </c>
      <c r="H54" s="833"/>
      <c r="I54" s="832" t="s">
        <v>487</v>
      </c>
      <c r="J54" s="833"/>
      <c r="K54" s="832" t="s">
        <v>487</v>
      </c>
      <c r="L54" s="833"/>
      <c r="M54" s="832" t="s">
        <v>487</v>
      </c>
      <c r="N54" s="833"/>
      <c r="O54" s="832" t="s">
        <v>487</v>
      </c>
      <c r="P54" s="833"/>
      <c r="Q54" s="832" t="s">
        <v>487</v>
      </c>
      <c r="R54" s="833"/>
      <c r="S54" s="832" t="s">
        <v>487</v>
      </c>
      <c r="T54" s="833"/>
      <c r="U54" s="832" t="s">
        <v>509</v>
      </c>
      <c r="V54" s="833"/>
      <c r="W54" s="832" t="s">
        <v>487</v>
      </c>
      <c r="X54" s="833"/>
      <c r="Y54" s="832" t="s">
        <v>487</v>
      </c>
      <c r="Z54" s="833"/>
      <c r="AA54" s="832" t="s">
        <v>487</v>
      </c>
      <c r="AB54" s="833"/>
      <c r="AC54" s="832" t="s">
        <v>487</v>
      </c>
      <c r="AD54" s="833"/>
      <c r="AE54" s="832" t="s">
        <v>487</v>
      </c>
      <c r="AF54" s="833"/>
      <c r="AG54" s="832" t="s">
        <v>487</v>
      </c>
      <c r="AH54" s="833"/>
      <c r="AI54" s="832" t="s">
        <v>487</v>
      </c>
      <c r="AJ54" s="833"/>
      <c r="AK54" s="832" t="s">
        <v>487</v>
      </c>
      <c r="AL54" s="833"/>
      <c r="AM54" s="832" t="s">
        <v>487</v>
      </c>
      <c r="AN54" s="833"/>
      <c r="AO54" s="832" t="s">
        <v>487</v>
      </c>
      <c r="AP54" s="833"/>
      <c r="AQ54" s="832" t="s">
        <v>487</v>
      </c>
      <c r="AR54" s="833"/>
      <c r="AS54" s="832" t="s">
        <v>487</v>
      </c>
      <c r="AT54" s="833"/>
      <c r="AU54" s="836"/>
      <c r="AV54" s="833"/>
      <c r="AW54" s="836"/>
      <c r="AX54" s="833"/>
      <c r="AY54" s="817" t="s">
        <v>488</v>
      </c>
      <c r="AZ54" s="818"/>
      <c r="BA54" s="817" t="s">
        <v>488</v>
      </c>
      <c r="BB54" s="818"/>
      <c r="BC54" s="817" t="s">
        <v>488</v>
      </c>
      <c r="BD54" s="818"/>
      <c r="BE54" s="817" t="s">
        <v>488</v>
      </c>
      <c r="BF54" s="821"/>
    </row>
    <row r="55" spans="1:58" ht="8.1" customHeight="1" x14ac:dyDescent="0.15">
      <c r="A55" s="886"/>
      <c r="B55" s="887"/>
      <c r="C55" s="834"/>
      <c r="D55" s="835"/>
      <c r="E55" s="834"/>
      <c r="F55" s="835"/>
      <c r="G55" s="834"/>
      <c r="H55" s="835"/>
      <c r="I55" s="834"/>
      <c r="J55" s="835"/>
      <c r="K55" s="834"/>
      <c r="L55" s="835"/>
      <c r="M55" s="834"/>
      <c r="N55" s="835"/>
      <c r="O55" s="834"/>
      <c r="P55" s="835"/>
      <c r="Q55" s="834"/>
      <c r="R55" s="835"/>
      <c r="S55" s="834"/>
      <c r="T55" s="835"/>
      <c r="U55" s="839"/>
      <c r="V55" s="838"/>
      <c r="W55" s="834"/>
      <c r="X55" s="835"/>
      <c r="Y55" s="834"/>
      <c r="Z55" s="835"/>
      <c r="AA55" s="834"/>
      <c r="AB55" s="835"/>
      <c r="AC55" s="834"/>
      <c r="AD55" s="835"/>
      <c r="AE55" s="834"/>
      <c r="AF55" s="835"/>
      <c r="AG55" s="834"/>
      <c r="AH55" s="835"/>
      <c r="AI55" s="834"/>
      <c r="AJ55" s="835"/>
      <c r="AK55" s="834"/>
      <c r="AL55" s="835"/>
      <c r="AM55" s="834"/>
      <c r="AN55" s="835"/>
      <c r="AO55" s="834"/>
      <c r="AP55" s="835"/>
      <c r="AQ55" s="834"/>
      <c r="AR55" s="835"/>
      <c r="AS55" s="834"/>
      <c r="AT55" s="835"/>
      <c r="AU55" s="837"/>
      <c r="AV55" s="838"/>
      <c r="AW55" s="837"/>
      <c r="AX55" s="838"/>
      <c r="AY55" s="819"/>
      <c r="AZ55" s="820"/>
      <c r="BA55" s="819"/>
      <c r="BB55" s="820"/>
      <c r="BC55" s="819"/>
      <c r="BD55" s="820"/>
      <c r="BE55" s="819"/>
      <c r="BF55" s="822"/>
    </row>
    <row r="56" spans="1:58" ht="8.1" customHeight="1" x14ac:dyDescent="0.15">
      <c r="A56" s="823" t="s">
        <v>510</v>
      </c>
      <c r="B56" s="824"/>
      <c r="C56" s="824"/>
      <c r="D56" s="824"/>
      <c r="E56" s="824"/>
      <c r="F56" s="824"/>
      <c r="G56" s="824"/>
      <c r="H56" s="824"/>
      <c r="I56" s="824"/>
      <c r="J56" s="824"/>
      <c r="K56" s="824"/>
      <c r="L56" s="824"/>
      <c r="M56" s="824"/>
      <c r="N56" s="824"/>
      <c r="O56" s="824"/>
      <c r="P56" s="824"/>
      <c r="Q56" s="824"/>
      <c r="R56" s="824"/>
      <c r="S56" s="824"/>
      <c r="T56" s="824"/>
      <c r="U56" s="824"/>
      <c r="V56" s="824"/>
      <c r="W56" s="824"/>
      <c r="X56" s="824"/>
      <c r="Y56" s="824"/>
      <c r="Z56" s="824"/>
      <c r="AA56" s="824"/>
      <c r="AB56" s="824"/>
      <c r="AC56" s="824"/>
      <c r="AD56" s="824"/>
      <c r="AE56" s="824"/>
      <c r="AF56" s="824"/>
      <c r="AG56" s="824"/>
      <c r="AH56" s="824"/>
      <c r="AI56" s="824"/>
      <c r="AJ56" s="824"/>
      <c r="AK56" s="824"/>
      <c r="AL56" s="824"/>
      <c r="AM56" s="824"/>
      <c r="AN56" s="824"/>
      <c r="AO56" s="824"/>
      <c r="AP56" s="824"/>
      <c r="AQ56" s="824"/>
      <c r="AR56" s="824"/>
      <c r="AS56" s="824"/>
      <c r="AT56" s="824"/>
      <c r="AU56" s="824"/>
      <c r="AV56" s="824"/>
      <c r="AW56" s="824"/>
      <c r="AX56" s="824"/>
      <c r="AY56" s="824"/>
      <c r="AZ56" s="824"/>
      <c r="BA56" s="824"/>
      <c r="BB56" s="824"/>
      <c r="BC56" s="824"/>
      <c r="BD56" s="824"/>
      <c r="BE56" s="824"/>
      <c r="BF56" s="825"/>
    </row>
    <row r="57" spans="1:58" ht="8.1" customHeight="1" x14ac:dyDescent="0.15">
      <c r="A57" s="826"/>
      <c r="B57" s="827"/>
      <c r="C57" s="827"/>
      <c r="D57" s="827"/>
      <c r="E57" s="827"/>
      <c r="F57" s="827"/>
      <c r="G57" s="827"/>
      <c r="H57" s="827"/>
      <c r="I57" s="827"/>
      <c r="J57" s="827"/>
      <c r="K57" s="827"/>
      <c r="L57" s="827"/>
      <c r="M57" s="827"/>
      <c r="N57" s="827"/>
      <c r="O57" s="827"/>
      <c r="P57" s="827"/>
      <c r="Q57" s="827"/>
      <c r="R57" s="827"/>
      <c r="S57" s="827"/>
      <c r="T57" s="827"/>
      <c r="U57" s="827"/>
      <c r="V57" s="827"/>
      <c r="W57" s="827"/>
      <c r="X57" s="827"/>
      <c r="Y57" s="827"/>
      <c r="Z57" s="827"/>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8"/>
    </row>
    <row r="58" spans="1:58" ht="8.1" customHeight="1" x14ac:dyDescent="0.15">
      <c r="A58" s="829" t="s">
        <v>511</v>
      </c>
      <c r="B58" s="830"/>
      <c r="C58" s="830"/>
      <c r="D58" s="830"/>
      <c r="E58" s="830"/>
      <c r="F58" s="830"/>
      <c r="G58" s="830"/>
      <c r="H58" s="830"/>
      <c r="I58" s="830"/>
      <c r="J58" s="830"/>
      <c r="K58" s="830"/>
      <c r="L58" s="830"/>
      <c r="M58" s="830"/>
      <c r="N58" s="83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1"/>
    </row>
    <row r="59" spans="1:58" ht="8.1" customHeight="1" x14ac:dyDescent="0.15">
      <c r="A59" s="803"/>
      <c r="B59" s="804"/>
      <c r="C59" s="804"/>
      <c r="D59" s="804"/>
      <c r="E59" s="804"/>
      <c r="F59" s="804"/>
      <c r="G59" s="804"/>
      <c r="H59" s="804"/>
      <c r="I59" s="804"/>
      <c r="J59" s="804"/>
      <c r="K59" s="804"/>
      <c r="L59" s="804"/>
      <c r="M59" s="804"/>
      <c r="N59" s="804"/>
      <c r="O59" s="804"/>
      <c r="P59" s="804"/>
      <c r="Q59" s="804"/>
      <c r="R59" s="804"/>
      <c r="S59" s="804"/>
      <c r="T59" s="804"/>
      <c r="U59" s="804"/>
      <c r="V59" s="804"/>
      <c r="W59" s="804"/>
      <c r="X59" s="804"/>
      <c r="Y59" s="804"/>
      <c r="Z59" s="804"/>
      <c r="AA59" s="804"/>
      <c r="AB59" s="804"/>
      <c r="AC59" s="804"/>
      <c r="AD59" s="804"/>
      <c r="AE59" s="804"/>
      <c r="AF59" s="804"/>
      <c r="AG59" s="804"/>
      <c r="AH59" s="804"/>
      <c r="AI59" s="804"/>
      <c r="AJ59" s="804"/>
      <c r="AK59" s="804"/>
      <c r="AL59" s="804"/>
      <c r="AM59" s="804"/>
      <c r="AN59" s="804"/>
      <c r="AO59" s="804"/>
      <c r="AP59" s="804"/>
      <c r="AQ59" s="804"/>
      <c r="AR59" s="804"/>
      <c r="AS59" s="804"/>
      <c r="AT59" s="804"/>
      <c r="AU59" s="804"/>
      <c r="AV59" s="804"/>
      <c r="AW59" s="804"/>
      <c r="AX59" s="804"/>
      <c r="AY59" s="804"/>
      <c r="AZ59" s="804"/>
      <c r="BA59" s="804"/>
      <c r="BB59" s="804"/>
      <c r="BC59" s="804"/>
      <c r="BD59" s="804"/>
      <c r="BE59" s="804"/>
      <c r="BF59" s="805"/>
    </row>
    <row r="60" spans="1:58" ht="8.1" customHeight="1" x14ac:dyDescent="0.15">
      <c r="A60" s="800" t="s">
        <v>532</v>
      </c>
      <c r="B60" s="801"/>
      <c r="C60" s="801"/>
      <c r="D60" s="801"/>
      <c r="E60" s="801"/>
      <c r="F60" s="801"/>
      <c r="G60" s="801"/>
      <c r="H60" s="801"/>
      <c r="I60" s="801"/>
      <c r="J60" s="801"/>
      <c r="K60" s="801"/>
      <c r="L60" s="801"/>
      <c r="M60" s="801"/>
      <c r="N60" s="801"/>
      <c r="O60" s="801"/>
      <c r="P60" s="801"/>
      <c r="Q60" s="801"/>
      <c r="R60" s="801"/>
      <c r="S60" s="801"/>
      <c r="T60" s="801"/>
      <c r="U60" s="801"/>
      <c r="V60" s="801"/>
      <c r="W60" s="801"/>
      <c r="X60" s="801"/>
      <c r="Y60" s="801"/>
      <c r="Z60" s="801"/>
      <c r="AA60" s="801"/>
      <c r="AB60" s="801"/>
      <c r="AC60" s="801"/>
      <c r="AD60" s="801"/>
      <c r="AE60" s="801"/>
      <c r="AF60" s="801"/>
      <c r="AG60" s="801"/>
      <c r="AH60" s="801"/>
      <c r="AI60" s="801"/>
      <c r="AJ60" s="801"/>
      <c r="AK60" s="801"/>
      <c r="AL60" s="801"/>
      <c r="AM60" s="801"/>
      <c r="AN60" s="801"/>
      <c r="AO60" s="801"/>
      <c r="AP60" s="801"/>
      <c r="AQ60" s="801"/>
      <c r="AR60" s="801"/>
      <c r="AS60" s="801"/>
      <c r="AT60" s="801"/>
      <c r="AU60" s="801"/>
      <c r="AV60" s="801"/>
      <c r="AW60" s="801"/>
      <c r="AX60" s="801"/>
      <c r="AY60" s="801"/>
      <c r="AZ60" s="801"/>
      <c r="BA60" s="801"/>
      <c r="BB60" s="801"/>
      <c r="BC60" s="801"/>
      <c r="BD60" s="801"/>
      <c r="BE60" s="801"/>
      <c r="BF60" s="802"/>
    </row>
    <row r="61" spans="1:58" ht="8.1" customHeight="1" x14ac:dyDescent="0.15">
      <c r="A61" s="803"/>
      <c r="B61" s="804"/>
      <c r="C61" s="804"/>
      <c r="D61" s="804"/>
      <c r="E61" s="804"/>
      <c r="F61" s="804"/>
      <c r="G61" s="804"/>
      <c r="H61" s="804"/>
      <c r="I61" s="804"/>
      <c r="J61" s="804"/>
      <c r="K61" s="804"/>
      <c r="L61" s="804"/>
      <c r="M61" s="804"/>
      <c r="N61" s="804"/>
      <c r="O61" s="804"/>
      <c r="P61" s="804"/>
      <c r="Q61" s="804"/>
      <c r="R61" s="804"/>
      <c r="S61" s="804"/>
      <c r="T61" s="804"/>
      <c r="U61" s="804"/>
      <c r="V61" s="804"/>
      <c r="W61" s="804"/>
      <c r="X61" s="804"/>
      <c r="Y61" s="804"/>
      <c r="Z61" s="804"/>
      <c r="AA61" s="804"/>
      <c r="AB61" s="804"/>
      <c r="AC61" s="804"/>
      <c r="AD61" s="804"/>
      <c r="AE61" s="804"/>
      <c r="AF61" s="804"/>
      <c r="AG61" s="804"/>
      <c r="AH61" s="804"/>
      <c r="AI61" s="804"/>
      <c r="AJ61" s="804"/>
      <c r="AK61" s="804"/>
      <c r="AL61" s="804"/>
      <c r="AM61" s="804"/>
      <c r="AN61" s="804"/>
      <c r="AO61" s="804"/>
      <c r="AP61" s="804"/>
      <c r="AQ61" s="804"/>
      <c r="AR61" s="804"/>
      <c r="AS61" s="804"/>
      <c r="AT61" s="804"/>
      <c r="AU61" s="804"/>
      <c r="AV61" s="804"/>
      <c r="AW61" s="804"/>
      <c r="AX61" s="804"/>
      <c r="AY61" s="804"/>
      <c r="AZ61" s="804"/>
      <c r="BA61" s="804"/>
      <c r="BB61" s="804"/>
      <c r="BC61" s="804"/>
      <c r="BD61" s="804"/>
      <c r="BE61" s="804"/>
      <c r="BF61" s="805"/>
    </row>
    <row r="62" spans="1:58" ht="8.1" customHeight="1" x14ac:dyDescent="0.15">
      <c r="A62" s="800" t="s">
        <v>533</v>
      </c>
      <c r="B62" s="806"/>
      <c r="C62" s="806"/>
      <c r="D62" s="806"/>
      <c r="E62" s="806"/>
      <c r="F62" s="806"/>
      <c r="G62" s="806"/>
      <c r="H62" s="806"/>
      <c r="I62" s="806"/>
      <c r="J62" s="806"/>
      <c r="K62" s="806"/>
      <c r="L62" s="806"/>
      <c r="M62" s="806"/>
      <c r="N62" s="806"/>
      <c r="O62" s="806"/>
      <c r="P62" s="806"/>
      <c r="Q62" s="806"/>
      <c r="R62" s="806"/>
      <c r="S62" s="806"/>
      <c r="T62" s="806"/>
      <c r="U62" s="806"/>
      <c r="V62" s="806"/>
      <c r="W62" s="806"/>
      <c r="X62" s="806"/>
      <c r="Y62" s="806"/>
      <c r="Z62" s="806"/>
      <c r="AA62" s="806"/>
      <c r="AB62" s="806"/>
      <c r="AC62" s="806"/>
      <c r="AD62" s="806"/>
      <c r="AE62" s="806"/>
      <c r="AF62" s="806"/>
      <c r="AG62" s="806"/>
      <c r="AH62" s="806"/>
      <c r="AI62" s="806"/>
      <c r="AJ62" s="806"/>
      <c r="AK62" s="806"/>
      <c r="AL62" s="806"/>
      <c r="AM62" s="806"/>
      <c r="AN62" s="806"/>
      <c r="AO62" s="806"/>
      <c r="AP62" s="806"/>
      <c r="AQ62" s="806"/>
      <c r="AR62" s="806"/>
      <c r="AS62" s="806"/>
      <c r="AT62" s="806"/>
      <c r="AU62" s="806"/>
      <c r="AV62" s="806"/>
      <c r="AW62" s="806"/>
      <c r="AX62" s="806"/>
      <c r="AY62" s="806"/>
      <c r="AZ62" s="806"/>
      <c r="BA62" s="806"/>
      <c r="BB62" s="806"/>
      <c r="BC62" s="806"/>
      <c r="BD62" s="806"/>
      <c r="BE62" s="806"/>
      <c r="BF62" s="807"/>
    </row>
    <row r="63" spans="1:58" ht="8.1" customHeight="1" x14ac:dyDescent="0.15">
      <c r="A63" s="808"/>
      <c r="B63" s="809"/>
      <c r="C63" s="809"/>
      <c r="D63" s="809"/>
      <c r="E63" s="809"/>
      <c r="F63" s="809"/>
      <c r="G63" s="809"/>
      <c r="H63" s="809"/>
      <c r="I63" s="809"/>
      <c r="J63" s="809"/>
      <c r="K63" s="809"/>
      <c r="L63" s="809"/>
      <c r="M63" s="809"/>
      <c r="N63" s="809"/>
      <c r="O63" s="809"/>
      <c r="P63" s="809"/>
      <c r="Q63" s="809"/>
      <c r="R63" s="809"/>
      <c r="S63" s="809"/>
      <c r="T63" s="809"/>
      <c r="U63" s="809"/>
      <c r="V63" s="809"/>
      <c r="W63" s="809"/>
      <c r="X63" s="809"/>
      <c r="Y63" s="809"/>
      <c r="Z63" s="809"/>
      <c r="AA63" s="809"/>
      <c r="AB63" s="809"/>
      <c r="AC63" s="809"/>
      <c r="AD63" s="809"/>
      <c r="AE63" s="809"/>
      <c r="AF63" s="809"/>
      <c r="AG63" s="809"/>
      <c r="AH63" s="809"/>
      <c r="AI63" s="809"/>
      <c r="AJ63" s="809"/>
      <c r="AK63" s="809"/>
      <c r="AL63" s="809"/>
      <c r="AM63" s="809"/>
      <c r="AN63" s="809"/>
      <c r="AO63" s="809"/>
      <c r="AP63" s="809"/>
      <c r="AQ63" s="809"/>
      <c r="AR63" s="809"/>
      <c r="AS63" s="809"/>
      <c r="AT63" s="809"/>
      <c r="AU63" s="809"/>
      <c r="AV63" s="809"/>
      <c r="AW63" s="809"/>
      <c r="AX63" s="809"/>
      <c r="AY63" s="809"/>
      <c r="AZ63" s="809"/>
      <c r="BA63" s="809"/>
      <c r="BB63" s="809"/>
      <c r="BC63" s="809"/>
      <c r="BD63" s="809"/>
      <c r="BE63" s="809"/>
      <c r="BF63" s="810"/>
    </row>
    <row r="64" spans="1:58" ht="8.1" customHeight="1" x14ac:dyDescent="0.15">
      <c r="A64" s="800" t="s">
        <v>534</v>
      </c>
      <c r="B64" s="806"/>
      <c r="C64" s="806"/>
      <c r="D64" s="806"/>
      <c r="E64" s="806"/>
      <c r="F64" s="806"/>
      <c r="G64" s="806"/>
      <c r="H64" s="806"/>
      <c r="I64" s="806"/>
      <c r="J64" s="806"/>
      <c r="K64" s="806"/>
      <c r="L64" s="806"/>
      <c r="M64" s="806"/>
      <c r="N64" s="806"/>
      <c r="O64" s="806"/>
      <c r="P64" s="806"/>
      <c r="Q64" s="806"/>
      <c r="R64" s="806"/>
      <c r="S64" s="806"/>
      <c r="T64" s="806"/>
      <c r="U64" s="806"/>
      <c r="V64" s="806"/>
      <c r="W64" s="806"/>
      <c r="X64" s="806"/>
      <c r="Y64" s="806"/>
      <c r="Z64" s="806"/>
      <c r="AA64" s="806"/>
      <c r="AB64" s="806"/>
      <c r="AC64" s="806"/>
      <c r="AD64" s="806"/>
      <c r="AE64" s="806"/>
      <c r="AF64" s="806"/>
      <c r="AG64" s="806"/>
      <c r="AH64" s="806"/>
      <c r="AI64" s="806"/>
      <c r="AJ64" s="806"/>
      <c r="AK64" s="806"/>
      <c r="AL64" s="806"/>
      <c r="AM64" s="806"/>
      <c r="AN64" s="806"/>
      <c r="AO64" s="806"/>
      <c r="AP64" s="806"/>
      <c r="AQ64" s="806"/>
      <c r="AR64" s="806"/>
      <c r="AS64" s="806"/>
      <c r="AT64" s="806"/>
      <c r="AU64" s="806"/>
      <c r="AV64" s="806"/>
      <c r="AW64" s="806"/>
      <c r="AX64" s="806"/>
      <c r="AY64" s="806"/>
      <c r="AZ64" s="806"/>
      <c r="BA64" s="806"/>
      <c r="BB64" s="806"/>
      <c r="BC64" s="806"/>
      <c r="BD64" s="806"/>
      <c r="BE64" s="806"/>
      <c r="BF64" s="807"/>
    </row>
    <row r="65" spans="1:58" ht="8.1" customHeight="1" x14ac:dyDescent="0.15">
      <c r="A65" s="808"/>
      <c r="B65" s="809"/>
      <c r="C65" s="809"/>
      <c r="D65" s="809"/>
      <c r="E65" s="809"/>
      <c r="F65" s="809"/>
      <c r="G65" s="809"/>
      <c r="H65" s="809"/>
      <c r="I65" s="809"/>
      <c r="J65" s="809"/>
      <c r="K65" s="809"/>
      <c r="L65" s="809"/>
      <c r="M65" s="809"/>
      <c r="N65" s="809"/>
      <c r="O65" s="809"/>
      <c r="P65" s="809"/>
      <c r="Q65" s="809"/>
      <c r="R65" s="809"/>
      <c r="S65" s="809"/>
      <c r="T65" s="809"/>
      <c r="U65" s="809"/>
      <c r="V65" s="809"/>
      <c r="W65" s="809"/>
      <c r="X65" s="809"/>
      <c r="Y65" s="809"/>
      <c r="Z65" s="809"/>
      <c r="AA65" s="809"/>
      <c r="AB65" s="809"/>
      <c r="AC65" s="809"/>
      <c r="AD65" s="809"/>
      <c r="AE65" s="809"/>
      <c r="AF65" s="809"/>
      <c r="AG65" s="809"/>
      <c r="AH65" s="809"/>
      <c r="AI65" s="809"/>
      <c r="AJ65" s="809"/>
      <c r="AK65" s="809"/>
      <c r="AL65" s="809"/>
      <c r="AM65" s="809"/>
      <c r="AN65" s="809"/>
      <c r="AO65" s="809"/>
      <c r="AP65" s="809"/>
      <c r="AQ65" s="809"/>
      <c r="AR65" s="809"/>
      <c r="AS65" s="809"/>
      <c r="AT65" s="809"/>
      <c r="AU65" s="809"/>
      <c r="AV65" s="809"/>
      <c r="AW65" s="809"/>
      <c r="AX65" s="809"/>
      <c r="AY65" s="809"/>
      <c r="AZ65" s="809"/>
      <c r="BA65" s="809"/>
      <c r="BB65" s="809"/>
      <c r="BC65" s="809"/>
      <c r="BD65" s="809"/>
      <c r="BE65" s="809"/>
      <c r="BF65" s="810"/>
    </row>
    <row r="66" spans="1:58" ht="8.1" customHeight="1" x14ac:dyDescent="0.15">
      <c r="A66" s="800" t="s">
        <v>535</v>
      </c>
      <c r="B66" s="806"/>
      <c r="C66" s="806"/>
      <c r="D66" s="806"/>
      <c r="E66" s="806"/>
      <c r="F66" s="806"/>
      <c r="G66" s="806"/>
      <c r="H66" s="806"/>
      <c r="I66" s="806"/>
      <c r="J66" s="806"/>
      <c r="K66" s="806"/>
      <c r="L66" s="806"/>
      <c r="M66" s="806"/>
      <c r="N66" s="806"/>
      <c r="O66" s="806"/>
      <c r="P66" s="806"/>
      <c r="Q66" s="806"/>
      <c r="R66" s="806"/>
      <c r="S66" s="806"/>
      <c r="T66" s="806"/>
      <c r="U66" s="806"/>
      <c r="V66" s="806"/>
      <c r="W66" s="806"/>
      <c r="X66" s="806"/>
      <c r="Y66" s="806"/>
      <c r="Z66" s="806"/>
      <c r="AA66" s="806"/>
      <c r="AB66" s="806"/>
      <c r="AC66" s="806"/>
      <c r="AD66" s="806"/>
      <c r="AE66" s="806"/>
      <c r="AF66" s="806"/>
      <c r="AG66" s="806"/>
      <c r="AH66" s="806"/>
      <c r="AI66" s="806"/>
      <c r="AJ66" s="806"/>
      <c r="AK66" s="806"/>
      <c r="AL66" s="806"/>
      <c r="AM66" s="806"/>
      <c r="AN66" s="806"/>
      <c r="AO66" s="806"/>
      <c r="AP66" s="806"/>
      <c r="AQ66" s="806"/>
      <c r="AR66" s="806"/>
      <c r="AS66" s="806"/>
      <c r="AT66" s="806"/>
      <c r="AU66" s="806"/>
      <c r="AV66" s="806"/>
      <c r="AW66" s="806"/>
      <c r="AX66" s="806"/>
      <c r="AY66" s="806"/>
      <c r="AZ66" s="806"/>
      <c r="BA66" s="806"/>
      <c r="BB66" s="806"/>
      <c r="BC66" s="806"/>
      <c r="BD66" s="806"/>
      <c r="BE66" s="806"/>
      <c r="BF66" s="807"/>
    </row>
    <row r="67" spans="1:58" ht="8.1" customHeight="1" x14ac:dyDescent="0.15">
      <c r="A67" s="808"/>
      <c r="B67" s="809"/>
      <c r="C67" s="809"/>
      <c r="D67" s="809"/>
      <c r="E67" s="809"/>
      <c r="F67" s="809"/>
      <c r="G67" s="809"/>
      <c r="H67" s="809"/>
      <c r="I67" s="809"/>
      <c r="J67" s="809"/>
      <c r="K67" s="809"/>
      <c r="L67" s="809"/>
      <c r="M67" s="809"/>
      <c r="N67" s="809"/>
      <c r="O67" s="809"/>
      <c r="P67" s="809"/>
      <c r="Q67" s="809"/>
      <c r="R67" s="809"/>
      <c r="S67" s="809"/>
      <c r="T67" s="809"/>
      <c r="U67" s="809"/>
      <c r="V67" s="809"/>
      <c r="W67" s="809"/>
      <c r="X67" s="809"/>
      <c r="Y67" s="809"/>
      <c r="Z67" s="809"/>
      <c r="AA67" s="809"/>
      <c r="AB67" s="809"/>
      <c r="AC67" s="809"/>
      <c r="AD67" s="809"/>
      <c r="AE67" s="809"/>
      <c r="AF67" s="809"/>
      <c r="AG67" s="809"/>
      <c r="AH67" s="809"/>
      <c r="AI67" s="809"/>
      <c r="AJ67" s="809"/>
      <c r="AK67" s="809"/>
      <c r="AL67" s="809"/>
      <c r="AM67" s="809"/>
      <c r="AN67" s="809"/>
      <c r="AO67" s="809"/>
      <c r="AP67" s="809"/>
      <c r="AQ67" s="809"/>
      <c r="AR67" s="809"/>
      <c r="AS67" s="809"/>
      <c r="AT67" s="809"/>
      <c r="AU67" s="809"/>
      <c r="AV67" s="809"/>
      <c r="AW67" s="809"/>
      <c r="AX67" s="809"/>
      <c r="AY67" s="809"/>
      <c r="AZ67" s="809"/>
      <c r="BA67" s="809"/>
      <c r="BB67" s="809"/>
      <c r="BC67" s="809"/>
      <c r="BD67" s="809"/>
      <c r="BE67" s="809"/>
      <c r="BF67" s="810"/>
    </row>
    <row r="68" spans="1:58" ht="8.1" customHeight="1" x14ac:dyDescent="0.15">
      <c r="A68" s="800" t="s">
        <v>512</v>
      </c>
      <c r="B68" s="806"/>
      <c r="C68" s="806"/>
      <c r="D68" s="806"/>
      <c r="E68" s="806"/>
      <c r="F68" s="806"/>
      <c r="G68" s="806"/>
      <c r="H68" s="806"/>
      <c r="I68" s="806"/>
      <c r="J68" s="806"/>
      <c r="K68" s="806"/>
      <c r="L68" s="806"/>
      <c r="M68" s="806"/>
      <c r="N68" s="806"/>
      <c r="O68" s="806"/>
      <c r="P68" s="806"/>
      <c r="Q68" s="806"/>
      <c r="R68" s="806"/>
      <c r="S68" s="806"/>
      <c r="T68" s="806"/>
      <c r="U68" s="806"/>
      <c r="V68" s="806"/>
      <c r="W68" s="806"/>
      <c r="X68" s="806"/>
      <c r="Y68" s="806"/>
      <c r="Z68" s="806"/>
      <c r="AA68" s="806"/>
      <c r="AB68" s="806"/>
      <c r="AC68" s="806"/>
      <c r="AD68" s="806"/>
      <c r="AE68" s="806"/>
      <c r="AF68" s="806"/>
      <c r="AG68" s="806"/>
      <c r="AH68" s="806"/>
      <c r="AI68" s="806"/>
      <c r="AJ68" s="806"/>
      <c r="AK68" s="806"/>
      <c r="AL68" s="806"/>
      <c r="AM68" s="806"/>
      <c r="AN68" s="806"/>
      <c r="AO68" s="806"/>
      <c r="AP68" s="806"/>
      <c r="AQ68" s="806"/>
      <c r="AR68" s="806"/>
      <c r="AS68" s="806"/>
      <c r="AT68" s="806"/>
      <c r="AU68" s="806"/>
      <c r="AV68" s="806"/>
      <c r="AW68" s="806"/>
      <c r="AX68" s="806"/>
      <c r="AY68" s="806"/>
      <c r="AZ68" s="806"/>
      <c r="BA68" s="806"/>
      <c r="BB68" s="806"/>
      <c r="BC68" s="806"/>
      <c r="BD68" s="806"/>
      <c r="BE68" s="806"/>
      <c r="BF68" s="807"/>
    </row>
    <row r="69" spans="1:58" ht="8.1" customHeight="1" x14ac:dyDescent="0.15">
      <c r="A69" s="808"/>
      <c r="B69" s="809"/>
      <c r="C69" s="809"/>
      <c r="D69" s="809"/>
      <c r="E69" s="809"/>
      <c r="F69" s="809"/>
      <c r="G69" s="809"/>
      <c r="H69" s="809"/>
      <c r="I69" s="809"/>
      <c r="J69" s="809"/>
      <c r="K69" s="809"/>
      <c r="L69" s="809"/>
      <c r="M69" s="809"/>
      <c r="N69" s="809"/>
      <c r="O69" s="809"/>
      <c r="P69" s="809"/>
      <c r="Q69" s="809"/>
      <c r="R69" s="809"/>
      <c r="S69" s="809"/>
      <c r="T69" s="809"/>
      <c r="U69" s="809"/>
      <c r="V69" s="809"/>
      <c r="W69" s="809"/>
      <c r="X69" s="809"/>
      <c r="Y69" s="809"/>
      <c r="Z69" s="809"/>
      <c r="AA69" s="809"/>
      <c r="AB69" s="809"/>
      <c r="AC69" s="809"/>
      <c r="AD69" s="809"/>
      <c r="AE69" s="809"/>
      <c r="AF69" s="809"/>
      <c r="AG69" s="809"/>
      <c r="AH69" s="809"/>
      <c r="AI69" s="809"/>
      <c r="AJ69" s="809"/>
      <c r="AK69" s="809"/>
      <c r="AL69" s="809"/>
      <c r="AM69" s="809"/>
      <c r="AN69" s="809"/>
      <c r="AO69" s="809"/>
      <c r="AP69" s="809"/>
      <c r="AQ69" s="809"/>
      <c r="AR69" s="809"/>
      <c r="AS69" s="809"/>
      <c r="AT69" s="809"/>
      <c r="AU69" s="809"/>
      <c r="AV69" s="809"/>
      <c r="AW69" s="809"/>
      <c r="AX69" s="809"/>
      <c r="AY69" s="809"/>
      <c r="AZ69" s="809"/>
      <c r="BA69" s="809"/>
      <c r="BB69" s="809"/>
      <c r="BC69" s="809"/>
      <c r="BD69" s="809"/>
      <c r="BE69" s="809"/>
      <c r="BF69" s="810"/>
    </row>
    <row r="70" spans="1:58" ht="8.1" customHeight="1" x14ac:dyDescent="0.15">
      <c r="A70" s="811"/>
      <c r="B70" s="812"/>
      <c r="C70" s="812"/>
      <c r="D70" s="812"/>
      <c r="E70" s="812"/>
      <c r="F70" s="812"/>
      <c r="G70" s="812"/>
      <c r="H70" s="812"/>
      <c r="I70" s="812"/>
      <c r="J70" s="812"/>
      <c r="K70" s="812"/>
      <c r="L70" s="812"/>
      <c r="M70" s="812"/>
      <c r="N70" s="812"/>
      <c r="O70" s="812"/>
      <c r="P70" s="812"/>
      <c r="Q70" s="812"/>
      <c r="R70" s="812"/>
      <c r="S70" s="812"/>
      <c r="T70" s="812"/>
      <c r="U70" s="812"/>
      <c r="V70" s="812"/>
      <c r="W70" s="812"/>
      <c r="X70" s="812"/>
      <c r="Y70" s="812"/>
      <c r="Z70" s="812"/>
      <c r="AA70" s="812"/>
      <c r="AB70" s="812"/>
      <c r="AC70" s="812"/>
      <c r="AD70" s="812"/>
      <c r="AE70" s="812"/>
      <c r="AF70" s="812"/>
      <c r="AG70" s="812"/>
      <c r="AH70" s="812"/>
      <c r="AI70" s="812"/>
      <c r="AJ70" s="812"/>
      <c r="AK70" s="812"/>
      <c r="AL70" s="812"/>
      <c r="AM70" s="812"/>
      <c r="AN70" s="812"/>
      <c r="AO70" s="812"/>
      <c r="AP70" s="812"/>
      <c r="AQ70" s="812"/>
      <c r="AR70" s="812"/>
      <c r="AS70" s="812"/>
      <c r="AT70" s="812"/>
      <c r="AU70" s="812"/>
      <c r="AV70" s="812"/>
      <c r="AW70" s="812"/>
      <c r="AX70" s="812"/>
      <c r="AY70" s="812"/>
      <c r="AZ70" s="812"/>
      <c r="BA70" s="812"/>
      <c r="BB70" s="812"/>
      <c r="BC70" s="812"/>
      <c r="BD70" s="812"/>
      <c r="BE70" s="812"/>
      <c r="BF70" s="813"/>
    </row>
    <row r="71" spans="1:58" ht="8.1" customHeight="1" x14ac:dyDescent="0.15">
      <c r="A71" s="814"/>
      <c r="B71" s="815"/>
      <c r="C71" s="815"/>
      <c r="D71" s="815"/>
      <c r="E71" s="815"/>
      <c r="F71" s="815"/>
      <c r="G71" s="815"/>
      <c r="H71" s="815"/>
      <c r="I71" s="815"/>
      <c r="J71" s="815"/>
      <c r="K71" s="815"/>
      <c r="L71" s="815"/>
      <c r="M71" s="815"/>
      <c r="N71" s="815"/>
      <c r="O71" s="815"/>
      <c r="P71" s="815"/>
      <c r="Q71" s="815"/>
      <c r="R71" s="815"/>
      <c r="S71" s="815"/>
      <c r="T71" s="815"/>
      <c r="U71" s="815"/>
      <c r="V71" s="815"/>
      <c r="W71" s="815"/>
      <c r="X71" s="815"/>
      <c r="Y71" s="815"/>
      <c r="Z71" s="815"/>
      <c r="AA71" s="815"/>
      <c r="AB71" s="815"/>
      <c r="AC71" s="815"/>
      <c r="AD71" s="815"/>
      <c r="AE71" s="815"/>
      <c r="AF71" s="815"/>
      <c r="AG71" s="815"/>
      <c r="AH71" s="815"/>
      <c r="AI71" s="815"/>
      <c r="AJ71" s="815"/>
      <c r="AK71" s="815"/>
      <c r="AL71" s="815"/>
      <c r="AM71" s="815"/>
      <c r="AN71" s="815"/>
      <c r="AO71" s="815"/>
      <c r="AP71" s="815"/>
      <c r="AQ71" s="815"/>
      <c r="AR71" s="815"/>
      <c r="AS71" s="815"/>
      <c r="AT71" s="815"/>
      <c r="AU71" s="815"/>
      <c r="AV71" s="815"/>
      <c r="AW71" s="815"/>
      <c r="AX71" s="815"/>
      <c r="AY71" s="815"/>
      <c r="AZ71" s="815"/>
      <c r="BA71" s="815"/>
      <c r="BB71" s="815"/>
      <c r="BC71" s="815"/>
      <c r="BD71" s="815"/>
      <c r="BE71" s="815"/>
      <c r="BF71" s="816"/>
    </row>
    <row r="72" spans="1:58" ht="8.1" customHeight="1" x14ac:dyDescent="0.15">
      <c r="A72" s="786" t="s">
        <v>118</v>
      </c>
      <c r="B72" s="787"/>
      <c r="C72" s="787"/>
      <c r="D72" s="787"/>
      <c r="E72" s="787"/>
      <c r="F72" s="787"/>
      <c r="G72" s="787"/>
      <c r="H72" s="787"/>
      <c r="I72" s="787"/>
      <c r="J72" s="787"/>
      <c r="K72" s="787"/>
      <c r="L72" s="787"/>
      <c r="M72" s="787"/>
      <c r="N72" s="787"/>
      <c r="O72" s="787"/>
      <c r="P72" s="787"/>
      <c r="Q72" s="787"/>
      <c r="R72" s="787"/>
      <c r="S72" s="787"/>
      <c r="T72" s="787"/>
      <c r="U72" s="787"/>
      <c r="V72" s="787"/>
      <c r="W72" s="787"/>
      <c r="X72" s="787"/>
      <c r="Y72" s="787"/>
      <c r="Z72" s="787"/>
      <c r="AA72" s="787"/>
      <c r="AB72" s="787"/>
      <c r="AC72" s="787"/>
      <c r="AD72" s="787"/>
      <c r="AE72" s="787"/>
      <c r="AF72" s="787"/>
      <c r="AG72" s="787"/>
      <c r="AH72" s="787"/>
      <c r="AI72" s="787"/>
      <c r="AJ72" s="787"/>
      <c r="AK72" s="787"/>
      <c r="AL72" s="787"/>
      <c r="AM72" s="787"/>
      <c r="AN72" s="790"/>
      <c r="AO72" s="790"/>
      <c r="AP72" s="790"/>
      <c r="AQ72" s="790"/>
      <c r="AR72" s="790"/>
      <c r="AS72" s="790"/>
      <c r="AT72" s="238"/>
      <c r="AU72" s="238"/>
      <c r="AV72" s="238"/>
      <c r="AW72" s="238"/>
      <c r="AX72" s="238"/>
      <c r="AY72" s="238"/>
      <c r="AZ72" s="238"/>
      <c r="BA72" s="238"/>
      <c r="BB72" s="238"/>
      <c r="BC72" s="792"/>
      <c r="BD72" s="792"/>
      <c r="BE72" s="792"/>
      <c r="BF72" s="793"/>
    </row>
    <row r="73" spans="1:58" ht="8.1" customHeight="1" x14ac:dyDescent="0.15">
      <c r="A73" s="788"/>
      <c r="B73" s="789"/>
      <c r="C73" s="789"/>
      <c r="D73" s="789"/>
      <c r="E73" s="789"/>
      <c r="F73" s="789"/>
      <c r="G73" s="789"/>
      <c r="H73" s="789"/>
      <c r="I73" s="789"/>
      <c r="J73" s="789"/>
      <c r="K73" s="789"/>
      <c r="L73" s="789"/>
      <c r="M73" s="789"/>
      <c r="N73" s="789"/>
      <c r="O73" s="789"/>
      <c r="P73" s="789"/>
      <c r="Q73" s="789"/>
      <c r="R73" s="789"/>
      <c r="S73" s="789"/>
      <c r="T73" s="789"/>
      <c r="U73" s="789"/>
      <c r="V73" s="789"/>
      <c r="W73" s="789"/>
      <c r="X73" s="789"/>
      <c r="Y73" s="789"/>
      <c r="Z73" s="789"/>
      <c r="AA73" s="789"/>
      <c r="AB73" s="789"/>
      <c r="AC73" s="789"/>
      <c r="AD73" s="789"/>
      <c r="AE73" s="789"/>
      <c r="AF73" s="789"/>
      <c r="AG73" s="789"/>
      <c r="AH73" s="789"/>
      <c r="AI73" s="789"/>
      <c r="AJ73" s="789"/>
      <c r="AK73" s="789"/>
      <c r="AL73" s="789"/>
      <c r="AM73" s="789"/>
      <c r="AN73" s="791"/>
      <c r="AO73" s="791"/>
      <c r="AP73" s="791"/>
      <c r="AQ73" s="791"/>
      <c r="AR73" s="791"/>
      <c r="AS73" s="791"/>
      <c r="AT73" s="239"/>
      <c r="AU73" s="239"/>
      <c r="AV73" s="239"/>
      <c r="AW73" s="239"/>
      <c r="AX73" s="239"/>
      <c r="AY73" s="239"/>
      <c r="AZ73" s="239"/>
      <c r="BA73" s="239"/>
      <c r="BB73" s="239"/>
      <c r="BC73" s="794"/>
      <c r="BD73" s="794"/>
      <c r="BE73" s="794"/>
      <c r="BF73" s="795"/>
    </row>
    <row r="74" spans="1:58" ht="12" customHeight="1" x14ac:dyDescent="0.15">
      <c r="A74" s="796"/>
      <c r="B74" s="797"/>
      <c r="C74" s="797"/>
      <c r="D74" s="797"/>
      <c r="E74" s="797"/>
      <c r="F74" s="797"/>
      <c r="G74" s="797"/>
      <c r="H74" s="797"/>
      <c r="I74" s="797"/>
      <c r="J74" s="798"/>
      <c r="K74" s="798"/>
      <c r="L74" s="798"/>
      <c r="M74" s="798"/>
      <c r="N74" s="798"/>
      <c r="O74" s="797"/>
      <c r="P74" s="797"/>
      <c r="Q74" s="797"/>
      <c r="R74" s="797"/>
      <c r="S74" s="797"/>
      <c r="T74" s="797"/>
      <c r="U74" s="797"/>
      <c r="V74" s="798"/>
      <c r="W74" s="798"/>
      <c r="X74" s="798"/>
      <c r="Y74" s="798"/>
      <c r="Z74" s="798"/>
      <c r="AA74" s="798"/>
      <c r="AB74" s="798"/>
      <c r="AC74" s="797"/>
      <c r="AD74" s="797"/>
      <c r="AE74" s="797"/>
      <c r="AF74" s="797"/>
      <c r="AG74" s="797"/>
      <c r="AH74" s="797"/>
      <c r="AI74" s="240"/>
      <c r="AJ74" s="798"/>
      <c r="AK74" s="798"/>
      <c r="AL74" s="798"/>
      <c r="AM74" s="798"/>
      <c r="AN74" s="240"/>
      <c r="AO74" s="799"/>
      <c r="AP74" s="799"/>
      <c r="AQ74" s="799"/>
      <c r="AR74" s="799"/>
      <c r="AS74" s="241"/>
      <c r="AT74" s="774" t="s">
        <v>513</v>
      </c>
      <c r="AU74" s="775"/>
      <c r="AV74" s="775"/>
      <c r="AW74" s="775"/>
      <c r="AX74" s="775"/>
      <c r="AY74" s="775"/>
      <c r="AZ74" s="775"/>
      <c r="BA74" s="775"/>
      <c r="BB74" s="775"/>
      <c r="BC74" s="775"/>
      <c r="BD74" s="775"/>
      <c r="BE74" s="775"/>
      <c r="BF74" s="776"/>
    </row>
    <row r="75" spans="1:58" ht="12" customHeight="1" x14ac:dyDescent="0.15">
      <c r="A75" s="777" t="s">
        <v>514</v>
      </c>
      <c r="B75" s="778"/>
      <c r="C75" s="778"/>
      <c r="D75" s="778"/>
      <c r="E75" s="778"/>
      <c r="F75" s="778"/>
      <c r="G75" s="778"/>
      <c r="H75" s="778"/>
      <c r="I75" s="778"/>
      <c r="J75" s="778"/>
      <c r="K75" s="778"/>
      <c r="L75" s="778"/>
      <c r="M75" s="778"/>
      <c r="N75" s="778"/>
      <c r="O75" s="778"/>
      <c r="P75" s="778"/>
      <c r="Q75" s="778"/>
      <c r="R75" s="778"/>
      <c r="S75" s="778"/>
      <c r="T75" s="778"/>
      <c r="U75" s="778"/>
      <c r="V75" s="778"/>
      <c r="W75" s="778"/>
      <c r="X75" s="778"/>
      <c r="Y75" s="778"/>
      <c r="Z75" s="778"/>
      <c r="AA75" s="778"/>
      <c r="AB75" s="778"/>
      <c r="AC75" s="778"/>
      <c r="AD75" s="778"/>
      <c r="AE75" s="778"/>
      <c r="AF75" s="778"/>
      <c r="AG75" s="778"/>
      <c r="AH75" s="778"/>
      <c r="AI75" s="778"/>
      <c r="AJ75" s="778"/>
      <c r="AK75" s="778"/>
      <c r="AL75" s="778"/>
      <c r="AM75" s="778"/>
      <c r="AN75" s="778"/>
      <c r="AO75" s="778"/>
      <c r="AP75" s="778"/>
      <c r="AQ75" s="778"/>
      <c r="AR75" s="778"/>
      <c r="AS75" s="779"/>
      <c r="AT75" s="780" t="s">
        <v>515</v>
      </c>
      <c r="AU75" s="781"/>
      <c r="AV75" s="781"/>
      <c r="AW75" s="781"/>
      <c r="AX75" s="781"/>
      <c r="AY75" s="781"/>
      <c r="AZ75" s="781"/>
      <c r="BA75" s="781"/>
      <c r="BB75" s="781"/>
      <c r="BC75" s="781"/>
      <c r="BD75" s="781"/>
      <c r="BE75" s="781"/>
      <c r="BF75" s="782"/>
    </row>
    <row r="76" spans="1:58" ht="12" customHeight="1" thickBot="1" x14ac:dyDescent="0.2">
      <c r="A76" s="783" t="s">
        <v>516</v>
      </c>
      <c r="B76" s="784"/>
      <c r="C76" s="784"/>
      <c r="D76" s="784"/>
      <c r="E76" s="784"/>
      <c r="F76" s="784"/>
      <c r="G76" s="784"/>
      <c r="H76" s="784"/>
      <c r="I76" s="784"/>
      <c r="J76" s="784"/>
      <c r="K76" s="784"/>
      <c r="L76" s="784"/>
      <c r="M76" s="784"/>
      <c r="N76" s="784"/>
      <c r="O76" s="784"/>
      <c r="P76" s="784"/>
      <c r="Q76" s="784"/>
      <c r="R76" s="784"/>
      <c r="S76" s="784"/>
      <c r="T76" s="784"/>
      <c r="U76" s="784"/>
      <c r="V76" s="784"/>
      <c r="W76" s="784"/>
      <c r="X76" s="784"/>
      <c r="Y76" s="784"/>
      <c r="Z76" s="784"/>
      <c r="AA76" s="784"/>
      <c r="AB76" s="784"/>
      <c r="AC76" s="784"/>
      <c r="AD76" s="784"/>
      <c r="AE76" s="784"/>
      <c r="AF76" s="784"/>
      <c r="AG76" s="784"/>
      <c r="AH76" s="784"/>
      <c r="AI76" s="784"/>
      <c r="AJ76" s="784"/>
      <c r="AK76" s="784"/>
      <c r="AL76" s="784"/>
      <c r="AM76" s="784"/>
      <c r="AN76" s="784"/>
      <c r="AO76" s="784"/>
      <c r="AP76" s="784"/>
      <c r="AQ76" s="784"/>
      <c r="AR76" s="784"/>
      <c r="AS76" s="784"/>
      <c r="AT76" s="784"/>
      <c r="AU76" s="784"/>
      <c r="AV76" s="784"/>
      <c r="AW76" s="784"/>
      <c r="AX76" s="784"/>
      <c r="AY76" s="784"/>
      <c r="AZ76" s="784"/>
      <c r="BA76" s="784"/>
      <c r="BB76" s="784"/>
      <c r="BC76" s="784"/>
      <c r="BD76" s="784"/>
      <c r="BE76" s="784"/>
      <c r="BF76" s="785"/>
    </row>
    <row r="77" spans="1:58" ht="12" customHeight="1" x14ac:dyDescent="0.15"/>
    <row r="78" spans="1:58" ht="8.1" customHeight="1" x14ac:dyDescent="0.15"/>
  </sheetData>
  <mergeCells count="308">
    <mergeCell ref="A1:BF3"/>
    <mergeCell ref="A4:BF4"/>
    <mergeCell ref="A5:AC6"/>
    <mergeCell ref="AD5:AG6"/>
    <mergeCell ref="AI5:AR6"/>
    <mergeCell ref="AU5:BF6"/>
    <mergeCell ref="A7:G8"/>
    <mergeCell ref="AC7:AH12"/>
    <mergeCell ref="AI7:BA8"/>
    <mergeCell ref="BB7:BF12"/>
    <mergeCell ref="A9:Y12"/>
    <mergeCell ref="Z9:AB12"/>
    <mergeCell ref="AI9:BA10"/>
    <mergeCell ref="AI11:AL12"/>
    <mergeCell ref="AM11:BA12"/>
    <mergeCell ref="AL15:AQ16"/>
    <mergeCell ref="AR15:AW16"/>
    <mergeCell ref="AX15:BF16"/>
    <mergeCell ref="A17:D19"/>
    <mergeCell ref="E17:G19"/>
    <mergeCell ref="H17:J19"/>
    <mergeCell ref="K17:M18"/>
    <mergeCell ref="N17:P18"/>
    <mergeCell ref="Q17:S18"/>
    <mergeCell ref="T17:V18"/>
    <mergeCell ref="A13:D16"/>
    <mergeCell ref="E13:G16"/>
    <mergeCell ref="H13:J16"/>
    <mergeCell ref="K13:AH14"/>
    <mergeCell ref="AI13:BF14"/>
    <mergeCell ref="K15:S16"/>
    <mergeCell ref="T15:AB16"/>
    <mergeCell ref="AC15:AE16"/>
    <mergeCell ref="AF15:AH16"/>
    <mergeCell ref="AI15:AK16"/>
    <mergeCell ref="AR17:AW18"/>
    <mergeCell ref="AX17:BF18"/>
    <mergeCell ref="K19:M20"/>
    <mergeCell ref="N19:P20"/>
    <mergeCell ref="AI17:AK18"/>
    <mergeCell ref="AL17:AQ18"/>
    <mergeCell ref="AI19:AK20"/>
    <mergeCell ref="AL19:AQ20"/>
    <mergeCell ref="AR19:AW20"/>
    <mergeCell ref="AX19:BF20"/>
    <mergeCell ref="A20:J20"/>
    <mergeCell ref="A21:F21"/>
    <mergeCell ref="G21:J21"/>
    <mergeCell ref="K21:P21"/>
    <mergeCell ref="Q21:Y21"/>
    <mergeCell ref="Z21:AI21"/>
    <mergeCell ref="Q19:S20"/>
    <mergeCell ref="T19:V20"/>
    <mergeCell ref="W19:Y20"/>
    <mergeCell ref="Z19:AB20"/>
    <mergeCell ref="AC19:AE20"/>
    <mergeCell ref="AF19:AH20"/>
    <mergeCell ref="W17:Y18"/>
    <mergeCell ref="Z17:AB18"/>
    <mergeCell ref="AC17:AE18"/>
    <mergeCell ref="AF17:AH18"/>
    <mergeCell ref="BB22:BF23"/>
    <mergeCell ref="AJ21:AW21"/>
    <mergeCell ref="AX21:BF21"/>
    <mergeCell ref="A22:F23"/>
    <mergeCell ref="G22:J23"/>
    <mergeCell ref="K22:N23"/>
    <mergeCell ref="O22:P23"/>
    <mergeCell ref="Q22:V23"/>
    <mergeCell ref="W22:Y23"/>
    <mergeCell ref="Z22:AG23"/>
    <mergeCell ref="AH22:AI23"/>
    <mergeCell ref="A24:J25"/>
    <mergeCell ref="K24:Q25"/>
    <mergeCell ref="R24:AA24"/>
    <mergeCell ref="AB24:AK24"/>
    <mergeCell ref="AL24:AU24"/>
    <mergeCell ref="AV24:BA24"/>
    <mergeCell ref="AJ22:AL23"/>
    <mergeCell ref="AM22:AN23"/>
    <mergeCell ref="AO22:AU23"/>
    <mergeCell ref="AV22:AW23"/>
    <mergeCell ref="AX22:BA23"/>
    <mergeCell ref="BB24:BF24"/>
    <mergeCell ref="R25:V25"/>
    <mergeCell ref="W25:AA25"/>
    <mergeCell ref="AB25:AF25"/>
    <mergeCell ref="AG25:AK25"/>
    <mergeCell ref="AL25:AP25"/>
    <mergeCell ref="AQ25:AU25"/>
    <mergeCell ref="AV25:BA25"/>
    <mergeCell ref="BB25:BF25"/>
    <mergeCell ref="A26:J26"/>
    <mergeCell ref="K26:Q26"/>
    <mergeCell ref="R26:AU26"/>
    <mergeCell ref="AV26:BA26"/>
    <mergeCell ref="BB26:BF26"/>
    <mergeCell ref="A27:J27"/>
    <mergeCell ref="K27:Q27"/>
    <mergeCell ref="R27:V27"/>
    <mergeCell ref="W27:AA27"/>
    <mergeCell ref="AB27:AF27"/>
    <mergeCell ref="AG27:AK27"/>
    <mergeCell ref="AL27:AP27"/>
    <mergeCell ref="AQ27:AU27"/>
    <mergeCell ref="AV27:BA27"/>
    <mergeCell ref="BB27:BF27"/>
    <mergeCell ref="BB28:BF28"/>
    <mergeCell ref="A29:J29"/>
    <mergeCell ref="K29:Q29"/>
    <mergeCell ref="R29:V29"/>
    <mergeCell ref="W29:AA29"/>
    <mergeCell ref="AB29:AF29"/>
    <mergeCell ref="AG29:AK29"/>
    <mergeCell ref="AL29:AP29"/>
    <mergeCell ref="AQ29:AU29"/>
    <mergeCell ref="AV29:BA29"/>
    <mergeCell ref="BB29:BF29"/>
    <mergeCell ref="A28:J28"/>
    <mergeCell ref="K28:Q28"/>
    <mergeCell ref="R28:V28"/>
    <mergeCell ref="W28:AA28"/>
    <mergeCell ref="AB28:AF28"/>
    <mergeCell ref="AG28:AK28"/>
    <mergeCell ref="AL28:AP28"/>
    <mergeCell ref="AQ28:AU28"/>
    <mergeCell ref="AV28:BA28"/>
    <mergeCell ref="BB30:BF30"/>
    <mergeCell ref="A31:J31"/>
    <mergeCell ref="K31:Q31"/>
    <mergeCell ref="R31:V31"/>
    <mergeCell ref="W31:AA31"/>
    <mergeCell ref="AB31:AF31"/>
    <mergeCell ref="AG31:AK31"/>
    <mergeCell ref="AL31:AP31"/>
    <mergeCell ref="AQ31:AU31"/>
    <mergeCell ref="AV31:BA31"/>
    <mergeCell ref="BB31:BF31"/>
    <mergeCell ref="A30:J30"/>
    <mergeCell ref="K30:Q30"/>
    <mergeCell ref="R30:V30"/>
    <mergeCell ref="W30:AA30"/>
    <mergeCell ref="AB30:AF30"/>
    <mergeCell ref="AG30:AK30"/>
    <mergeCell ref="AL30:AP30"/>
    <mergeCell ref="AQ30:AU30"/>
    <mergeCell ref="AV30:BA30"/>
    <mergeCell ref="A32:J32"/>
    <mergeCell ref="K32:Q32"/>
    <mergeCell ref="R32:V32"/>
    <mergeCell ref="W32:AA32"/>
    <mergeCell ref="AB32:AF32"/>
    <mergeCell ref="AV33:BA33"/>
    <mergeCell ref="BB33:BF33"/>
    <mergeCell ref="A34:B55"/>
    <mergeCell ref="C34:BF35"/>
    <mergeCell ref="C36:D42"/>
    <mergeCell ref="E36:F42"/>
    <mergeCell ref="G36:H42"/>
    <mergeCell ref="AG32:AK32"/>
    <mergeCell ref="AL32:AP32"/>
    <mergeCell ref="AQ32:AU32"/>
    <mergeCell ref="AV32:BA32"/>
    <mergeCell ref="BB32:BF32"/>
    <mergeCell ref="A33:J33"/>
    <mergeCell ref="K33:Q33"/>
    <mergeCell ref="R33:V33"/>
    <mergeCell ref="W33:AA33"/>
    <mergeCell ref="AB33:AF33"/>
    <mergeCell ref="I36:J42"/>
    <mergeCell ref="K36:L42"/>
    <mergeCell ref="M36:N42"/>
    <mergeCell ref="O36:P42"/>
    <mergeCell ref="Q36:R42"/>
    <mergeCell ref="S36:T42"/>
    <mergeCell ref="AG33:AK33"/>
    <mergeCell ref="AL33:AP33"/>
    <mergeCell ref="AQ33:AU33"/>
    <mergeCell ref="AK36:AL42"/>
    <mergeCell ref="AM36:AN42"/>
    <mergeCell ref="AO36:AP42"/>
    <mergeCell ref="AQ36:AR42"/>
    <mergeCell ref="U36:V42"/>
    <mergeCell ref="W36:X42"/>
    <mergeCell ref="Y36:Z42"/>
    <mergeCell ref="AA36:AB42"/>
    <mergeCell ref="AC36:AD42"/>
    <mergeCell ref="AE36:AF42"/>
    <mergeCell ref="U43:V44"/>
    <mergeCell ref="W43:X44"/>
    <mergeCell ref="Y43:Z44"/>
    <mergeCell ref="AA43:AB44"/>
    <mergeCell ref="AC43:AD44"/>
    <mergeCell ref="AE43:AF44"/>
    <mergeCell ref="BE36:BF42"/>
    <mergeCell ref="C43:D44"/>
    <mergeCell ref="E43:F44"/>
    <mergeCell ref="G43:H44"/>
    <mergeCell ref="I43:J44"/>
    <mergeCell ref="K43:L44"/>
    <mergeCell ref="M43:N44"/>
    <mergeCell ref="O43:P44"/>
    <mergeCell ref="Q43:R44"/>
    <mergeCell ref="S43:T44"/>
    <mergeCell ref="AS36:AT42"/>
    <mergeCell ref="AU36:AV42"/>
    <mergeCell ref="AW36:AX42"/>
    <mergeCell ref="AY36:AZ42"/>
    <mergeCell ref="BA36:BB42"/>
    <mergeCell ref="BC36:BD42"/>
    <mergeCell ref="AG36:AH42"/>
    <mergeCell ref="AI36:AJ42"/>
    <mergeCell ref="C47:D53"/>
    <mergeCell ref="E47:F53"/>
    <mergeCell ref="G47:H53"/>
    <mergeCell ref="I47:J53"/>
    <mergeCell ref="K47:L53"/>
    <mergeCell ref="M47:N53"/>
    <mergeCell ref="BE43:BF44"/>
    <mergeCell ref="C45:Z46"/>
    <mergeCell ref="AA45:AJ46"/>
    <mergeCell ref="AK45:AP46"/>
    <mergeCell ref="AQ45:AT46"/>
    <mergeCell ref="AU45:BF46"/>
    <mergeCell ref="AS43:AT44"/>
    <mergeCell ref="AU43:AV44"/>
    <mergeCell ref="AW43:AX44"/>
    <mergeCell ref="AY43:AZ44"/>
    <mergeCell ref="BA43:BB44"/>
    <mergeCell ref="BC43:BD44"/>
    <mergeCell ref="AG43:AH44"/>
    <mergeCell ref="AI43:AJ44"/>
    <mergeCell ref="AK43:AL44"/>
    <mergeCell ref="AM43:AN44"/>
    <mergeCell ref="AO43:AP44"/>
    <mergeCell ref="AQ43:AR44"/>
    <mergeCell ref="BE47:BF53"/>
    <mergeCell ref="C54:D55"/>
    <mergeCell ref="E54:F55"/>
    <mergeCell ref="G54:H55"/>
    <mergeCell ref="I54:J55"/>
    <mergeCell ref="K54:L55"/>
    <mergeCell ref="M54:N55"/>
    <mergeCell ref="AM47:AN53"/>
    <mergeCell ref="AO47:AP53"/>
    <mergeCell ref="AQ47:AR53"/>
    <mergeCell ref="AS47:AT53"/>
    <mergeCell ref="AU47:AV53"/>
    <mergeCell ref="AW47:AX53"/>
    <mergeCell ref="AA47:AB53"/>
    <mergeCell ref="AC47:AD53"/>
    <mergeCell ref="AE47:AF53"/>
    <mergeCell ref="AG47:AH53"/>
    <mergeCell ref="AI47:AJ53"/>
    <mergeCell ref="AK47:AL53"/>
    <mergeCell ref="O47:P53"/>
    <mergeCell ref="Q47:R53"/>
    <mergeCell ref="S47:T53"/>
    <mergeCell ref="U47:V53"/>
    <mergeCell ref="W47:X53"/>
    <mergeCell ref="O54:P55"/>
    <mergeCell ref="Q54:R55"/>
    <mergeCell ref="S54:T55"/>
    <mergeCell ref="U54:V55"/>
    <mergeCell ref="W54:X55"/>
    <mergeCell ref="Y54:Z55"/>
    <mergeCell ref="AY47:AZ53"/>
    <mergeCell ref="BA47:BB53"/>
    <mergeCell ref="BC47:BD53"/>
    <mergeCell ref="Y47:Z53"/>
    <mergeCell ref="A60:BF61"/>
    <mergeCell ref="A62:BF63"/>
    <mergeCell ref="A64:BF65"/>
    <mergeCell ref="A66:BF67"/>
    <mergeCell ref="A68:BF69"/>
    <mergeCell ref="A70:BF71"/>
    <mergeCell ref="AY54:AZ55"/>
    <mergeCell ref="BA54:BB55"/>
    <mergeCell ref="BC54:BD55"/>
    <mergeCell ref="BE54:BF55"/>
    <mergeCell ref="A56:BF57"/>
    <mergeCell ref="A58:BF59"/>
    <mergeCell ref="AM54:AN55"/>
    <mergeCell ref="AO54:AP55"/>
    <mergeCell ref="AQ54:AR55"/>
    <mergeCell ref="AS54:AT55"/>
    <mergeCell ref="AU54:AV55"/>
    <mergeCell ref="AW54:AX55"/>
    <mergeCell ref="AA54:AB55"/>
    <mergeCell ref="AC54:AD55"/>
    <mergeCell ref="AE54:AF55"/>
    <mergeCell ref="AG54:AH55"/>
    <mergeCell ref="AI54:AJ55"/>
    <mergeCell ref="AK54:AL55"/>
    <mergeCell ref="AT74:BF74"/>
    <mergeCell ref="A75:AS75"/>
    <mergeCell ref="AT75:BF75"/>
    <mergeCell ref="A76:BF76"/>
    <mergeCell ref="A72:AM73"/>
    <mergeCell ref="AN72:AS73"/>
    <mergeCell ref="BC72:BF73"/>
    <mergeCell ref="A74:I74"/>
    <mergeCell ref="J74:N74"/>
    <mergeCell ref="O74:U74"/>
    <mergeCell ref="V74:AB74"/>
    <mergeCell ref="AC74:AH74"/>
    <mergeCell ref="AJ74:AM74"/>
    <mergeCell ref="AO74:AR74"/>
  </mergeCells>
  <phoneticPr fontId="2"/>
  <pageMargins left="0.78740157480314965" right="0" top="0.15748031496062992" bottom="0.15748031496062992" header="0.31496062992125984" footer="0.31496062992125984"/>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3B957-2EFB-4216-A07B-F582767D9453}">
  <sheetPr codeName="Sheet6"/>
  <dimension ref="A1:O75"/>
  <sheetViews>
    <sheetView tabSelected="1" zoomScale="130" zoomScaleNormal="130" workbookViewId="0">
      <pane ySplit="2" topLeftCell="A36" activePane="bottomLeft" state="frozen"/>
      <selection activeCell="B33" sqref="B33:G33"/>
      <selection pane="bottomLeft" activeCell="B33" sqref="B33:G33"/>
    </sheetView>
  </sheetViews>
  <sheetFormatPr defaultColWidth="8.75" defaultRowHeight="11.25" customHeight="1" x14ac:dyDescent="0.15"/>
  <cols>
    <col min="1" max="1" width="2.125" style="219" customWidth="1"/>
    <col min="2" max="7" width="7.25" style="219" customWidth="1"/>
    <col min="8" max="8" width="3" style="219" customWidth="1"/>
    <col min="9" max="14" width="7.25" style="219" customWidth="1"/>
    <col min="15" max="15" width="2.125" style="219" customWidth="1"/>
    <col min="16" max="16384" width="8.75" style="219"/>
  </cols>
  <sheetData>
    <row r="1" spans="1:15" ht="21" customHeight="1" x14ac:dyDescent="0.15">
      <c r="A1" s="215"/>
      <c r="B1" s="216">
        <f>COUNT(A:A)</f>
        <v>2</v>
      </c>
      <c r="C1" s="217"/>
      <c r="D1" s="1085" t="e">
        <f>#REF!</f>
        <v>#REF!</v>
      </c>
      <c r="E1" s="1085"/>
      <c r="F1" s="1085"/>
      <c r="G1" s="1085"/>
      <c r="H1" s="1085"/>
      <c r="I1" s="1085"/>
      <c r="J1" s="1085"/>
      <c r="K1" s="1085"/>
      <c r="L1" s="1085"/>
      <c r="M1" s="218"/>
      <c r="N1" s="217"/>
      <c r="O1" s="217"/>
    </row>
    <row r="2" spans="1:15" ht="17.25" customHeight="1" x14ac:dyDescent="0.15">
      <c r="A2" s="217"/>
      <c r="B2" s="217"/>
      <c r="C2" s="218"/>
      <c r="D2" s="1085"/>
      <c r="E2" s="1085"/>
      <c r="F2" s="1085"/>
      <c r="G2" s="1085"/>
      <c r="H2" s="1085"/>
      <c r="I2" s="1085"/>
      <c r="J2" s="1085"/>
      <c r="K2" s="1085"/>
      <c r="L2" s="1085"/>
      <c r="M2" s="218"/>
      <c r="N2" s="217"/>
      <c r="O2" s="217"/>
    </row>
    <row r="3" spans="1:15" ht="11.25" customHeight="1" x14ac:dyDescent="0.15">
      <c r="A3" s="217"/>
    </row>
    <row r="4" spans="1:15" ht="11.25" customHeight="1" x14ac:dyDescent="0.15">
      <c r="A4" s="217"/>
    </row>
    <row r="5" spans="1:15" ht="11.25" customHeight="1" x14ac:dyDescent="0.15">
      <c r="A5" s="216">
        <v>1</v>
      </c>
    </row>
    <row r="6" spans="1:15" ht="11.25" customHeight="1" x14ac:dyDescent="0.15">
      <c r="A6" s="217"/>
      <c r="B6" s="1086"/>
      <c r="C6" s="1086"/>
      <c r="D6" s="1086"/>
      <c r="E6" s="1086"/>
      <c r="F6" s="1086"/>
      <c r="G6" s="1086"/>
      <c r="H6" s="1086"/>
      <c r="I6" s="1086"/>
      <c r="J6" s="1086"/>
      <c r="K6" s="1086"/>
      <c r="L6" s="1086"/>
      <c r="M6" s="1086"/>
      <c r="N6" s="1086"/>
      <c r="O6" s="1086"/>
    </row>
    <row r="7" spans="1:15" ht="11.25" customHeight="1" x14ac:dyDescent="0.15">
      <c r="A7" s="217"/>
      <c r="B7" s="1087" t="s">
        <v>361</v>
      </c>
      <c r="C7" s="1087"/>
      <c r="D7" s="1087"/>
      <c r="E7" s="1087"/>
      <c r="F7" s="1087"/>
      <c r="G7" s="1087"/>
      <c r="H7" s="220"/>
      <c r="I7" s="1087" t="s">
        <v>361</v>
      </c>
      <c r="J7" s="1087"/>
      <c r="K7" s="1087"/>
      <c r="L7" s="1087"/>
      <c r="M7" s="1087"/>
      <c r="N7" s="1087"/>
      <c r="O7" s="217"/>
    </row>
    <row r="8" spans="1:15" ht="11.25" customHeight="1" x14ac:dyDescent="0.15">
      <c r="A8" s="217"/>
      <c r="B8" s="1087"/>
      <c r="C8" s="1087"/>
      <c r="D8" s="1087"/>
      <c r="E8" s="1087"/>
      <c r="F8" s="1087"/>
      <c r="G8" s="1087"/>
      <c r="H8" s="220"/>
      <c r="I8" s="1087"/>
      <c r="J8" s="1087"/>
      <c r="K8" s="1087"/>
      <c r="L8" s="1087"/>
      <c r="M8" s="1087"/>
      <c r="N8" s="1087"/>
      <c r="O8" s="217"/>
    </row>
    <row r="9" spans="1:15" ht="11.25" customHeight="1" x14ac:dyDescent="0.15">
      <c r="A9" s="217"/>
      <c r="B9" s="1087"/>
      <c r="C9" s="1087"/>
      <c r="D9" s="1087"/>
      <c r="E9" s="1087"/>
      <c r="F9" s="1087"/>
      <c r="G9" s="1087"/>
      <c r="H9" s="220"/>
      <c r="I9" s="1087"/>
      <c r="J9" s="1087"/>
      <c r="K9" s="1087"/>
      <c r="L9" s="1087"/>
      <c r="M9" s="1087"/>
      <c r="N9" s="1087"/>
      <c r="O9" s="217"/>
    </row>
    <row r="10" spans="1:15" ht="11.25" customHeight="1" x14ac:dyDescent="0.15">
      <c r="A10" s="217"/>
      <c r="B10" s="1087"/>
      <c r="C10" s="1087"/>
      <c r="D10" s="1087"/>
      <c r="E10" s="1087"/>
      <c r="F10" s="1087"/>
      <c r="G10" s="1087"/>
      <c r="H10" s="220"/>
      <c r="I10" s="1087"/>
      <c r="J10" s="1087"/>
      <c r="K10" s="1087"/>
      <c r="L10" s="1087"/>
      <c r="M10" s="1087"/>
      <c r="N10" s="1087"/>
      <c r="O10" s="217"/>
    </row>
    <row r="11" spans="1:15" ht="11.25" customHeight="1" x14ac:dyDescent="0.15">
      <c r="A11" s="217"/>
      <c r="B11" s="1087"/>
      <c r="C11" s="1087"/>
      <c r="D11" s="1087"/>
      <c r="E11" s="1087"/>
      <c r="F11" s="1087"/>
      <c r="G11" s="1087"/>
      <c r="H11" s="220"/>
      <c r="I11" s="1087"/>
      <c r="J11" s="1087"/>
      <c r="K11" s="1087"/>
      <c r="L11" s="1087"/>
      <c r="M11" s="1087"/>
      <c r="N11" s="1087"/>
      <c r="O11" s="217"/>
    </row>
    <row r="12" spans="1:15" ht="11.25" customHeight="1" x14ac:dyDescent="0.15">
      <c r="A12" s="217"/>
      <c r="B12" s="1087"/>
      <c r="C12" s="1087"/>
      <c r="D12" s="1087"/>
      <c r="E12" s="1087"/>
      <c r="F12" s="1087"/>
      <c r="G12" s="1087"/>
      <c r="H12" s="220"/>
      <c r="I12" s="1087"/>
      <c r="J12" s="1087"/>
      <c r="K12" s="1087"/>
      <c r="L12" s="1087"/>
      <c r="M12" s="1087"/>
      <c r="N12" s="1087"/>
      <c r="O12" s="217"/>
    </row>
    <row r="13" spans="1:15" ht="11.25" customHeight="1" x14ac:dyDescent="0.15">
      <c r="A13" s="217"/>
      <c r="B13" s="1087"/>
      <c r="C13" s="1087"/>
      <c r="D13" s="1087"/>
      <c r="E13" s="1087"/>
      <c r="F13" s="1087"/>
      <c r="G13" s="1087"/>
      <c r="H13" s="220"/>
      <c r="I13" s="1087"/>
      <c r="J13" s="1087"/>
      <c r="K13" s="1087"/>
      <c r="L13" s="1087"/>
      <c r="M13" s="1087"/>
      <c r="N13" s="1087"/>
      <c r="O13" s="217"/>
    </row>
    <row r="14" spans="1:15" ht="11.25" customHeight="1" x14ac:dyDescent="0.15">
      <c r="A14" s="217"/>
      <c r="B14" s="1087"/>
      <c r="C14" s="1087"/>
      <c r="D14" s="1087"/>
      <c r="E14" s="1087"/>
      <c r="F14" s="1087"/>
      <c r="G14" s="1087"/>
      <c r="H14" s="220"/>
      <c r="I14" s="1087"/>
      <c r="J14" s="1087"/>
      <c r="K14" s="1087"/>
      <c r="L14" s="1087"/>
      <c r="M14" s="1087"/>
      <c r="N14" s="1087"/>
      <c r="O14" s="217"/>
    </row>
    <row r="15" spans="1:15" ht="11.25" customHeight="1" x14ac:dyDescent="0.15">
      <c r="A15" s="217"/>
      <c r="B15" s="1087"/>
      <c r="C15" s="1087"/>
      <c r="D15" s="1087"/>
      <c r="E15" s="1087"/>
      <c r="F15" s="1087"/>
      <c r="G15" s="1087"/>
      <c r="H15" s="220"/>
      <c r="I15" s="1087"/>
      <c r="J15" s="1087"/>
      <c r="K15" s="1087"/>
      <c r="L15" s="1087"/>
      <c r="M15" s="1087"/>
      <c r="N15" s="1087"/>
      <c r="O15" s="217"/>
    </row>
    <row r="16" spans="1:15" ht="11.25" customHeight="1" x14ac:dyDescent="0.15">
      <c r="A16" s="217"/>
      <c r="B16" s="1087"/>
      <c r="C16" s="1087"/>
      <c r="D16" s="1087"/>
      <c r="E16" s="1087"/>
      <c r="F16" s="1087"/>
      <c r="G16" s="1087"/>
      <c r="H16" s="220"/>
      <c r="I16" s="1087"/>
      <c r="J16" s="1087"/>
      <c r="K16" s="1087"/>
      <c r="L16" s="1087"/>
      <c r="M16" s="1087"/>
      <c r="N16" s="1087"/>
      <c r="O16" s="217"/>
    </row>
    <row r="17" spans="1:15" ht="11.25" customHeight="1" x14ac:dyDescent="0.15">
      <c r="A17" s="217"/>
      <c r="B17" s="1087"/>
      <c r="C17" s="1087"/>
      <c r="D17" s="1087"/>
      <c r="E17" s="1087"/>
      <c r="F17" s="1087"/>
      <c r="G17" s="1087"/>
      <c r="H17" s="220"/>
      <c r="I17" s="1087"/>
      <c r="J17" s="1087"/>
      <c r="K17" s="1087"/>
      <c r="L17" s="1087"/>
      <c r="M17" s="1087"/>
      <c r="N17" s="1087"/>
      <c r="O17" s="217"/>
    </row>
    <row r="18" spans="1:15" ht="11.25" customHeight="1" x14ac:dyDescent="0.15">
      <c r="A18" s="217"/>
      <c r="B18" s="1087"/>
      <c r="C18" s="1087"/>
      <c r="D18" s="1087"/>
      <c r="E18" s="1087"/>
      <c r="F18" s="1087"/>
      <c r="G18" s="1087"/>
      <c r="H18" s="220"/>
      <c r="I18" s="1087"/>
      <c r="J18" s="1087"/>
      <c r="K18" s="1087"/>
      <c r="L18" s="1087"/>
      <c r="M18" s="1087"/>
      <c r="N18" s="1087"/>
      <c r="O18" s="217"/>
    </row>
    <row r="19" spans="1:15" ht="11.25" customHeight="1" x14ac:dyDescent="0.15">
      <c r="A19" s="217"/>
      <c r="B19" s="1087"/>
      <c r="C19" s="1087"/>
      <c r="D19" s="1087"/>
      <c r="E19" s="1087"/>
      <c r="F19" s="1087"/>
      <c r="G19" s="1087"/>
      <c r="H19" s="220"/>
      <c r="I19" s="1087"/>
      <c r="J19" s="1087"/>
      <c r="K19" s="1087"/>
      <c r="L19" s="1087"/>
      <c r="M19" s="1087"/>
      <c r="N19" s="1087"/>
      <c r="O19" s="217"/>
    </row>
    <row r="20" spans="1:15" ht="11.25" customHeight="1" x14ac:dyDescent="0.15">
      <c r="A20" s="217"/>
      <c r="B20" s="1087"/>
      <c r="C20" s="1087"/>
      <c r="D20" s="1087"/>
      <c r="E20" s="1087"/>
      <c r="F20" s="1087"/>
      <c r="G20" s="1087"/>
      <c r="H20" s="220"/>
      <c r="I20" s="1087"/>
      <c r="J20" s="1087"/>
      <c r="K20" s="1087"/>
      <c r="L20" s="1087"/>
      <c r="M20" s="1087"/>
      <c r="N20" s="1087"/>
      <c r="O20" s="217"/>
    </row>
    <row r="21" spans="1:15" ht="11.25" customHeight="1" x14ac:dyDescent="0.15">
      <c r="A21" s="217"/>
      <c r="B21" s="1087"/>
      <c r="C21" s="1087"/>
      <c r="D21" s="1087"/>
      <c r="E21" s="1087"/>
      <c r="F21" s="1087"/>
      <c r="G21" s="1087"/>
      <c r="H21" s="220"/>
      <c r="I21" s="1087"/>
      <c r="J21" s="1087"/>
      <c r="K21" s="1087"/>
      <c r="L21" s="1087"/>
      <c r="M21" s="1087"/>
      <c r="N21" s="1087"/>
      <c r="O21" s="217"/>
    </row>
    <row r="22" spans="1:15" ht="11.25" customHeight="1" x14ac:dyDescent="0.15">
      <c r="A22" s="217"/>
      <c r="B22" s="1087"/>
      <c r="C22" s="1087"/>
      <c r="D22" s="1087"/>
      <c r="E22" s="1087"/>
      <c r="F22" s="1087"/>
      <c r="G22" s="1087"/>
      <c r="H22" s="220"/>
      <c r="I22" s="1087"/>
      <c r="J22" s="1087"/>
      <c r="K22" s="1087"/>
      <c r="L22" s="1087"/>
      <c r="M22" s="1087"/>
      <c r="N22" s="1087"/>
      <c r="O22" s="217"/>
    </row>
    <row r="23" spans="1:15" ht="11.25" customHeight="1" x14ac:dyDescent="0.15">
      <c r="A23" s="217"/>
      <c r="B23" s="1087"/>
      <c r="C23" s="1087"/>
      <c r="D23" s="1087"/>
      <c r="E23" s="1087"/>
      <c r="F23" s="1087"/>
      <c r="G23" s="1087"/>
      <c r="H23" s="220"/>
      <c r="I23" s="1087"/>
      <c r="J23" s="1087"/>
      <c r="K23" s="1087"/>
      <c r="L23" s="1087"/>
      <c r="M23" s="1087"/>
      <c r="N23" s="1087"/>
      <c r="O23" s="217"/>
    </row>
    <row r="24" spans="1:15" ht="11.25" customHeight="1" x14ac:dyDescent="0.15">
      <c r="A24" s="217"/>
      <c r="B24" s="220"/>
      <c r="C24" s="220"/>
      <c r="D24" s="220"/>
      <c r="E24" s="220"/>
      <c r="F24" s="220"/>
      <c r="G24" s="220"/>
      <c r="H24" s="220"/>
      <c r="I24" s="220"/>
      <c r="J24" s="220"/>
      <c r="K24" s="220"/>
      <c r="L24" s="220"/>
      <c r="M24" s="220"/>
      <c r="N24" s="220"/>
      <c r="O24" s="217"/>
    </row>
    <row r="25" spans="1:15" ht="11.25" customHeight="1" x14ac:dyDescent="0.15">
      <c r="A25" s="217"/>
      <c r="B25" s="1086" t="s">
        <v>362</v>
      </c>
      <c r="C25" s="1086"/>
      <c r="D25" s="1086"/>
      <c r="E25" s="1086"/>
      <c r="F25" s="1086"/>
      <c r="G25" s="1086"/>
      <c r="H25" s="217"/>
      <c r="I25" s="1086" t="s">
        <v>362</v>
      </c>
      <c r="J25" s="1086"/>
      <c r="K25" s="1086"/>
      <c r="L25" s="1086"/>
      <c r="M25" s="1086"/>
      <c r="N25" s="1086"/>
      <c r="O25" s="217"/>
    </row>
    <row r="26" spans="1:15" ht="11.25" customHeight="1" x14ac:dyDescent="0.15">
      <c r="A26" s="217"/>
      <c r="B26" s="1088" t="s">
        <v>363</v>
      </c>
      <c r="C26" s="1088"/>
      <c r="D26" s="1088"/>
      <c r="E26" s="1088"/>
      <c r="F26" s="1088"/>
      <c r="G26" s="1088"/>
      <c r="H26" s="217"/>
      <c r="I26" s="1088" t="s">
        <v>363</v>
      </c>
      <c r="J26" s="1088"/>
      <c r="K26" s="1088"/>
      <c r="L26" s="1088"/>
      <c r="M26" s="1088"/>
      <c r="N26" s="1088"/>
      <c r="O26" s="217"/>
    </row>
    <row r="27" spans="1:15" ht="11.25" customHeight="1" x14ac:dyDescent="0.15">
      <c r="A27" s="217"/>
      <c r="B27" s="1088" t="s">
        <v>517</v>
      </c>
      <c r="C27" s="1088"/>
      <c r="D27" s="1088"/>
      <c r="E27" s="1088"/>
      <c r="F27" s="1088"/>
      <c r="G27" s="1088"/>
      <c r="H27" s="217"/>
      <c r="I27" s="1088" t="s">
        <v>517</v>
      </c>
      <c r="J27" s="1088"/>
      <c r="K27" s="1088"/>
      <c r="L27" s="1088"/>
      <c r="M27" s="1088"/>
      <c r="N27" s="1088"/>
      <c r="O27" s="217"/>
    </row>
    <row r="28" spans="1:15" ht="11.25" customHeight="1" x14ac:dyDescent="0.15">
      <c r="A28" s="217"/>
      <c r="B28" s="1089" t="s">
        <v>539</v>
      </c>
      <c r="C28" s="1089"/>
      <c r="D28" s="1089"/>
      <c r="E28" s="1089"/>
      <c r="F28" s="1089"/>
      <c r="G28" s="1089"/>
      <c r="H28" s="217"/>
      <c r="I28" s="1089" t="s">
        <v>538</v>
      </c>
      <c r="J28" s="1089"/>
      <c r="K28" s="1089"/>
      <c r="L28" s="1089"/>
      <c r="M28" s="1089"/>
      <c r="N28" s="1089"/>
      <c r="O28" s="217"/>
    </row>
    <row r="29" spans="1:15" ht="11.25" customHeight="1" x14ac:dyDescent="0.15">
      <c r="A29" s="217"/>
      <c r="B29" s="221"/>
      <c r="C29" s="221"/>
      <c r="D29" s="221"/>
      <c r="E29" s="221"/>
      <c r="F29" s="221"/>
      <c r="G29" s="221"/>
      <c r="H29" s="222"/>
      <c r="I29" s="1090"/>
      <c r="J29" s="1090"/>
      <c r="K29" s="1090"/>
      <c r="L29" s="1090"/>
      <c r="M29" s="1090"/>
      <c r="N29" s="1090"/>
      <c r="O29" s="222"/>
    </row>
    <row r="30" spans="1:15" ht="11.25" customHeight="1" x14ac:dyDescent="0.15">
      <c r="A30" s="217"/>
      <c r="B30" s="1087"/>
      <c r="C30" s="1087"/>
      <c r="D30" s="1087"/>
      <c r="E30" s="1087"/>
      <c r="F30" s="1087"/>
      <c r="G30" s="1087"/>
      <c r="H30" s="220"/>
      <c r="I30" s="1087"/>
      <c r="J30" s="1087"/>
      <c r="K30" s="1087"/>
      <c r="L30" s="1087"/>
      <c r="M30" s="1087"/>
      <c r="N30" s="1087"/>
      <c r="O30" s="217"/>
    </row>
    <row r="31" spans="1:15" ht="11.25" customHeight="1" x14ac:dyDescent="0.15">
      <c r="A31" s="217"/>
      <c r="B31" s="1087"/>
      <c r="C31" s="1087"/>
      <c r="D31" s="1087"/>
      <c r="E31" s="1087"/>
      <c r="F31" s="1087"/>
      <c r="G31" s="1087"/>
      <c r="H31" s="220"/>
      <c r="I31" s="1087"/>
      <c r="J31" s="1087"/>
      <c r="K31" s="1087"/>
      <c r="L31" s="1087"/>
      <c r="M31" s="1087"/>
      <c r="N31" s="1087"/>
      <c r="O31" s="217"/>
    </row>
    <row r="32" spans="1:15" ht="11.25" customHeight="1" x14ac:dyDescent="0.15">
      <c r="A32" s="217"/>
      <c r="B32" s="1087"/>
      <c r="C32" s="1087"/>
      <c r="D32" s="1087"/>
      <c r="E32" s="1087"/>
      <c r="F32" s="1087"/>
      <c r="G32" s="1087"/>
      <c r="H32" s="220"/>
      <c r="I32" s="1087"/>
      <c r="J32" s="1087"/>
      <c r="K32" s="1087"/>
      <c r="L32" s="1087"/>
      <c r="M32" s="1087"/>
      <c r="N32" s="1087"/>
      <c r="O32" s="217"/>
    </row>
    <row r="33" spans="1:15" ht="11.25" customHeight="1" x14ac:dyDescent="0.15">
      <c r="A33" s="217"/>
      <c r="B33" s="1087"/>
      <c r="C33" s="1087"/>
      <c r="D33" s="1087"/>
      <c r="E33" s="1087"/>
      <c r="F33" s="1087"/>
      <c r="G33" s="1087"/>
      <c r="H33" s="220"/>
      <c r="I33" s="1087"/>
      <c r="J33" s="1087"/>
      <c r="K33" s="1087"/>
      <c r="L33" s="1087"/>
      <c r="M33" s="1087"/>
      <c r="N33" s="1087"/>
      <c r="O33" s="217"/>
    </row>
    <row r="34" spans="1:15" ht="11.25" customHeight="1" x14ac:dyDescent="0.15">
      <c r="A34" s="217"/>
      <c r="B34" s="1087"/>
      <c r="C34" s="1087"/>
      <c r="D34" s="1087"/>
      <c r="E34" s="1087"/>
      <c r="F34" s="1087"/>
      <c r="G34" s="1087"/>
      <c r="H34" s="220"/>
      <c r="I34" s="1087"/>
      <c r="J34" s="1087"/>
      <c r="K34" s="1087"/>
      <c r="L34" s="1087"/>
      <c r="M34" s="1087"/>
      <c r="N34" s="1087"/>
      <c r="O34" s="217"/>
    </row>
    <row r="35" spans="1:15" ht="11.25" customHeight="1" x14ac:dyDescent="0.15">
      <c r="A35" s="217"/>
      <c r="B35" s="1087"/>
      <c r="C35" s="1087"/>
      <c r="D35" s="1087"/>
      <c r="E35" s="1087"/>
      <c r="F35" s="1087"/>
      <c r="G35" s="1087"/>
      <c r="H35" s="220"/>
      <c r="I35" s="1087"/>
      <c r="J35" s="1087"/>
      <c r="K35" s="1087"/>
      <c r="L35" s="1087"/>
      <c r="M35" s="1087"/>
      <c r="N35" s="1087"/>
      <c r="O35" s="217"/>
    </row>
    <row r="36" spans="1:15" ht="11.25" customHeight="1" x14ac:dyDescent="0.15">
      <c r="A36" s="217"/>
      <c r="B36" s="1087"/>
      <c r="C36" s="1087"/>
      <c r="D36" s="1087"/>
      <c r="E36" s="1087"/>
      <c r="F36" s="1087"/>
      <c r="G36" s="1087"/>
      <c r="H36" s="220"/>
      <c r="I36" s="1087"/>
      <c r="J36" s="1087"/>
      <c r="K36" s="1087"/>
      <c r="L36" s="1087"/>
      <c r="M36" s="1087"/>
      <c r="N36" s="1087"/>
      <c r="O36" s="217"/>
    </row>
    <row r="37" spans="1:15" ht="11.25" customHeight="1" x14ac:dyDescent="0.15">
      <c r="A37" s="217"/>
      <c r="B37" s="1087"/>
      <c r="C37" s="1087"/>
      <c r="D37" s="1087"/>
      <c r="E37" s="1087"/>
      <c r="F37" s="1087"/>
      <c r="G37" s="1087"/>
      <c r="H37" s="220"/>
      <c r="I37" s="1087"/>
      <c r="J37" s="1087"/>
      <c r="K37" s="1087"/>
      <c r="L37" s="1087"/>
      <c r="M37" s="1087"/>
      <c r="N37" s="1087"/>
      <c r="O37" s="217"/>
    </row>
    <row r="38" spans="1:15" ht="11.25" customHeight="1" x14ac:dyDescent="0.15">
      <c r="A38" s="217"/>
      <c r="B38" s="1087"/>
      <c r="C38" s="1087"/>
      <c r="D38" s="1087"/>
      <c r="E38" s="1087"/>
      <c r="F38" s="1087"/>
      <c r="G38" s="1087"/>
      <c r="H38" s="220"/>
      <c r="I38" s="1087"/>
      <c r="J38" s="1087"/>
      <c r="K38" s="1087"/>
      <c r="L38" s="1087"/>
      <c r="M38" s="1087"/>
      <c r="N38" s="1087"/>
      <c r="O38" s="217"/>
    </row>
    <row r="39" spans="1:15" ht="11.25" customHeight="1" x14ac:dyDescent="0.15">
      <c r="A39" s="217"/>
      <c r="B39" s="1087"/>
      <c r="C39" s="1087"/>
      <c r="D39" s="1087"/>
      <c r="E39" s="1087"/>
      <c r="F39" s="1087"/>
      <c r="G39" s="1087"/>
      <c r="H39" s="220"/>
      <c r="I39" s="1087"/>
      <c r="J39" s="1087"/>
      <c r="K39" s="1087"/>
      <c r="L39" s="1087"/>
      <c r="M39" s="1087"/>
      <c r="N39" s="1087"/>
      <c r="O39" s="217"/>
    </row>
    <row r="40" spans="1:15" ht="11.25" customHeight="1" x14ac:dyDescent="0.15">
      <c r="A40" s="217"/>
      <c r="B40" s="1087"/>
      <c r="C40" s="1087"/>
      <c r="D40" s="1087"/>
      <c r="E40" s="1087"/>
      <c r="F40" s="1087"/>
      <c r="G40" s="1087"/>
      <c r="H40" s="220"/>
      <c r="I40" s="1087"/>
      <c r="J40" s="1087"/>
      <c r="K40" s="1087"/>
      <c r="L40" s="1087"/>
      <c r="M40" s="1087"/>
      <c r="N40" s="1087"/>
      <c r="O40" s="217"/>
    </row>
    <row r="41" spans="1:15" ht="11.25" customHeight="1" x14ac:dyDescent="0.15">
      <c r="A41" s="217"/>
      <c r="B41" s="1087"/>
      <c r="C41" s="1087"/>
      <c r="D41" s="1087"/>
      <c r="E41" s="1087"/>
      <c r="F41" s="1087"/>
      <c r="G41" s="1087"/>
      <c r="H41" s="220"/>
      <c r="I41" s="1087"/>
      <c r="J41" s="1087"/>
      <c r="K41" s="1087"/>
      <c r="L41" s="1087"/>
      <c r="M41" s="1087"/>
      <c r="N41" s="1087"/>
      <c r="O41" s="217"/>
    </row>
    <row r="42" spans="1:15" ht="11.25" customHeight="1" x14ac:dyDescent="0.15">
      <c r="A42" s="217"/>
      <c r="B42" s="1087"/>
      <c r="C42" s="1087"/>
      <c r="D42" s="1087"/>
      <c r="E42" s="1087"/>
      <c r="F42" s="1087"/>
      <c r="G42" s="1087"/>
      <c r="H42" s="220"/>
      <c r="I42" s="1087"/>
      <c r="J42" s="1087"/>
      <c r="K42" s="1087"/>
      <c r="L42" s="1087"/>
      <c r="M42" s="1087"/>
      <c r="N42" s="1087"/>
      <c r="O42" s="217"/>
    </row>
    <row r="43" spans="1:15" ht="11.25" customHeight="1" x14ac:dyDescent="0.15">
      <c r="A43" s="217"/>
      <c r="B43" s="1087"/>
      <c r="C43" s="1087"/>
      <c r="D43" s="1087"/>
      <c r="E43" s="1087"/>
      <c r="F43" s="1087"/>
      <c r="G43" s="1087"/>
      <c r="H43" s="220"/>
      <c r="I43" s="1087"/>
      <c r="J43" s="1087"/>
      <c r="K43" s="1087"/>
      <c r="L43" s="1087"/>
      <c r="M43" s="1087"/>
      <c r="N43" s="1087"/>
      <c r="O43" s="217"/>
    </row>
    <row r="44" spans="1:15" ht="11.25" customHeight="1" x14ac:dyDescent="0.15">
      <c r="A44" s="217"/>
      <c r="B44" s="1087"/>
      <c r="C44" s="1087"/>
      <c r="D44" s="1087"/>
      <c r="E44" s="1087"/>
      <c r="F44" s="1087"/>
      <c r="G44" s="1087"/>
      <c r="H44" s="220"/>
      <c r="I44" s="1087"/>
      <c r="J44" s="1087"/>
      <c r="K44" s="1087"/>
      <c r="L44" s="1087"/>
      <c r="M44" s="1087"/>
      <c r="N44" s="1087"/>
      <c r="O44" s="217"/>
    </row>
    <row r="45" spans="1:15" ht="11.25" customHeight="1" x14ac:dyDescent="0.15">
      <c r="A45" s="217"/>
      <c r="B45" s="1087"/>
      <c r="C45" s="1087"/>
      <c r="D45" s="1087"/>
      <c r="E45" s="1087"/>
      <c r="F45" s="1087"/>
      <c r="G45" s="1087"/>
      <c r="H45" s="220"/>
      <c r="I45" s="1087"/>
      <c r="J45" s="1087"/>
      <c r="K45" s="1087"/>
      <c r="L45" s="1087"/>
      <c r="M45" s="1087"/>
      <c r="N45" s="1087"/>
      <c r="O45" s="217"/>
    </row>
    <row r="46" spans="1:15" ht="11.25" customHeight="1" x14ac:dyDescent="0.15">
      <c r="A46" s="217"/>
      <c r="B46" s="1087"/>
      <c r="C46" s="1087"/>
      <c r="D46" s="1087"/>
      <c r="E46" s="1087"/>
      <c r="F46" s="1087"/>
      <c r="G46" s="1087"/>
      <c r="H46" s="220"/>
      <c r="I46" s="1087"/>
      <c r="J46" s="1087"/>
      <c r="K46" s="1087"/>
      <c r="L46" s="1087"/>
      <c r="M46" s="1087"/>
      <c r="N46" s="1087"/>
      <c r="O46" s="217"/>
    </row>
    <row r="47" spans="1:15" ht="11.25" customHeight="1" x14ac:dyDescent="0.15">
      <c r="A47" s="217"/>
      <c r="B47" s="220"/>
      <c r="C47" s="220"/>
      <c r="D47" s="220"/>
      <c r="E47" s="220"/>
      <c r="F47" s="220"/>
      <c r="G47" s="220"/>
      <c r="H47" s="220"/>
      <c r="I47" s="220"/>
      <c r="J47" s="220"/>
      <c r="K47" s="220"/>
      <c r="L47" s="220"/>
      <c r="M47" s="220"/>
      <c r="N47" s="220"/>
      <c r="O47" s="217"/>
    </row>
    <row r="48" spans="1:15" ht="11.25" customHeight="1" x14ac:dyDescent="0.15">
      <c r="A48" s="217"/>
      <c r="B48" s="1086" t="s">
        <v>536</v>
      </c>
      <c r="C48" s="1086"/>
      <c r="D48" s="1086"/>
      <c r="E48" s="1086"/>
      <c r="F48" s="1086"/>
      <c r="G48" s="1086"/>
      <c r="H48" s="217"/>
      <c r="I48" s="1086" t="s">
        <v>536</v>
      </c>
      <c r="J48" s="1086"/>
      <c r="K48" s="1086"/>
      <c r="L48" s="1086"/>
      <c r="M48" s="1086"/>
      <c r="N48" s="1086"/>
      <c r="O48" s="217"/>
    </row>
    <row r="49" spans="1:15" ht="11.25" customHeight="1" x14ac:dyDescent="0.15">
      <c r="A49" s="217"/>
      <c r="B49" s="1086" t="s">
        <v>537</v>
      </c>
      <c r="C49" s="1086"/>
      <c r="D49" s="1086"/>
      <c r="E49" s="1086"/>
      <c r="F49" s="1086"/>
      <c r="G49" s="1086"/>
      <c r="H49" s="217"/>
      <c r="I49" s="1086"/>
      <c r="J49" s="1086"/>
      <c r="K49" s="1086"/>
      <c r="L49" s="1086"/>
      <c r="M49" s="1086"/>
      <c r="N49" s="1086"/>
      <c r="O49" s="217"/>
    </row>
    <row r="50" spans="1:15" ht="11.25" customHeight="1" x14ac:dyDescent="0.15">
      <c r="A50" s="217"/>
      <c r="B50" s="1088" t="s">
        <v>517</v>
      </c>
      <c r="C50" s="1088"/>
      <c r="D50" s="1088"/>
      <c r="E50" s="1088"/>
      <c r="F50" s="1088"/>
      <c r="G50" s="1088"/>
      <c r="H50" s="217"/>
      <c r="I50" s="1088"/>
      <c r="J50" s="1088"/>
      <c r="K50" s="1088"/>
      <c r="L50" s="1088"/>
      <c r="M50" s="1088"/>
      <c r="N50" s="1088"/>
      <c r="O50" s="217"/>
    </row>
    <row r="51" spans="1:15" ht="11.25" customHeight="1" x14ac:dyDescent="0.15">
      <c r="A51" s="217"/>
      <c r="B51" s="1086" t="s">
        <v>540</v>
      </c>
      <c r="C51" s="1086"/>
      <c r="D51" s="1086"/>
      <c r="E51" s="1086"/>
      <c r="F51" s="1086"/>
      <c r="G51" s="1086"/>
      <c r="H51" s="217"/>
      <c r="I51" s="1091"/>
      <c r="J51" s="1091"/>
      <c r="K51" s="1091"/>
      <c r="L51" s="1091"/>
      <c r="M51" s="1091"/>
      <c r="N51" s="1091"/>
      <c r="O51" s="217"/>
    </row>
    <row r="52" spans="1:15" ht="11.25" customHeight="1" x14ac:dyDescent="0.15">
      <c r="A52" s="217"/>
      <c r="B52" s="1086"/>
      <c r="C52" s="1086"/>
      <c r="D52" s="1086"/>
      <c r="E52" s="1086"/>
      <c r="F52" s="1086"/>
      <c r="G52" s="1086"/>
      <c r="H52" s="1086"/>
      <c r="I52" s="1086"/>
      <c r="J52" s="1086"/>
      <c r="K52" s="1086"/>
      <c r="L52" s="1086"/>
      <c r="M52" s="1086"/>
      <c r="N52" s="1086"/>
      <c r="O52" s="1086"/>
    </row>
    <row r="53" spans="1:15" ht="11.25" customHeight="1" x14ac:dyDescent="0.15">
      <c r="A53" s="217"/>
      <c r="B53" s="1087"/>
      <c r="C53" s="1087"/>
      <c r="D53" s="1087"/>
      <c r="E53" s="1087"/>
      <c r="F53" s="1087"/>
      <c r="G53" s="1087"/>
      <c r="H53" s="220"/>
      <c r="I53" s="1087"/>
      <c r="J53" s="1087"/>
      <c r="K53" s="1087"/>
      <c r="L53" s="1087"/>
      <c r="M53" s="1087"/>
      <c r="N53" s="1087"/>
      <c r="O53" s="217"/>
    </row>
    <row r="54" spans="1:15" ht="11.25" customHeight="1" x14ac:dyDescent="0.15">
      <c r="A54" s="217"/>
      <c r="B54" s="1087"/>
      <c r="C54" s="1087"/>
      <c r="D54" s="1087"/>
      <c r="E54" s="1087"/>
      <c r="F54" s="1087"/>
      <c r="G54" s="1087"/>
      <c r="H54" s="220"/>
      <c r="I54" s="1087"/>
      <c r="J54" s="1087"/>
      <c r="K54" s="1087"/>
      <c r="L54" s="1087"/>
      <c r="M54" s="1087"/>
      <c r="N54" s="1087"/>
      <c r="O54" s="217"/>
    </row>
    <row r="55" spans="1:15" ht="11.25" customHeight="1" x14ac:dyDescent="0.15">
      <c r="A55" s="217"/>
      <c r="B55" s="1087"/>
      <c r="C55" s="1087"/>
      <c r="D55" s="1087"/>
      <c r="E55" s="1087"/>
      <c r="F55" s="1087"/>
      <c r="G55" s="1087"/>
      <c r="H55" s="220"/>
      <c r="I55" s="1087"/>
      <c r="J55" s="1087"/>
      <c r="K55" s="1087"/>
      <c r="L55" s="1087"/>
      <c r="M55" s="1087"/>
      <c r="N55" s="1087"/>
      <c r="O55" s="217"/>
    </row>
    <row r="56" spans="1:15" ht="11.25" customHeight="1" x14ac:dyDescent="0.15">
      <c r="A56" s="217"/>
      <c r="B56" s="1087"/>
      <c r="C56" s="1087"/>
      <c r="D56" s="1087"/>
      <c r="E56" s="1087"/>
      <c r="F56" s="1087"/>
      <c r="G56" s="1087"/>
      <c r="H56" s="220"/>
      <c r="I56" s="1087"/>
      <c r="J56" s="1087"/>
      <c r="K56" s="1087"/>
      <c r="L56" s="1087"/>
      <c r="M56" s="1087"/>
      <c r="N56" s="1087"/>
      <c r="O56" s="217"/>
    </row>
    <row r="57" spans="1:15" ht="11.25" customHeight="1" x14ac:dyDescent="0.15">
      <c r="A57" s="217"/>
      <c r="B57" s="1087"/>
      <c r="C57" s="1087"/>
      <c r="D57" s="1087"/>
      <c r="E57" s="1087"/>
      <c r="F57" s="1087"/>
      <c r="G57" s="1087"/>
      <c r="H57" s="220"/>
      <c r="I57" s="1087"/>
      <c r="J57" s="1087"/>
      <c r="K57" s="1087"/>
      <c r="L57" s="1087"/>
      <c r="M57" s="1087"/>
      <c r="N57" s="1087"/>
      <c r="O57" s="217"/>
    </row>
    <row r="58" spans="1:15" ht="11.25" customHeight="1" x14ac:dyDescent="0.15">
      <c r="A58" s="217"/>
      <c r="B58" s="1087"/>
      <c r="C58" s="1087"/>
      <c r="D58" s="1087"/>
      <c r="E58" s="1087"/>
      <c r="F58" s="1087"/>
      <c r="G58" s="1087"/>
      <c r="H58" s="220"/>
      <c r="I58" s="1087"/>
      <c r="J58" s="1087"/>
      <c r="K58" s="1087"/>
      <c r="L58" s="1087"/>
      <c r="M58" s="1087"/>
      <c r="N58" s="1087"/>
      <c r="O58" s="217"/>
    </row>
    <row r="59" spans="1:15" ht="11.25" customHeight="1" x14ac:dyDescent="0.15">
      <c r="A59" s="217"/>
      <c r="B59" s="1087"/>
      <c r="C59" s="1087"/>
      <c r="D59" s="1087"/>
      <c r="E59" s="1087"/>
      <c r="F59" s="1087"/>
      <c r="G59" s="1087"/>
      <c r="H59" s="220"/>
      <c r="I59" s="1087"/>
      <c r="J59" s="1087"/>
      <c r="K59" s="1087"/>
      <c r="L59" s="1087"/>
      <c r="M59" s="1087"/>
      <c r="N59" s="1087"/>
      <c r="O59" s="217"/>
    </row>
    <row r="60" spans="1:15" ht="11.25" customHeight="1" x14ac:dyDescent="0.15">
      <c r="A60" s="217"/>
      <c r="B60" s="1087"/>
      <c r="C60" s="1087"/>
      <c r="D60" s="1087"/>
      <c r="E60" s="1087"/>
      <c r="F60" s="1087"/>
      <c r="G60" s="1087"/>
      <c r="H60" s="220"/>
      <c r="I60" s="1087"/>
      <c r="J60" s="1087"/>
      <c r="K60" s="1087"/>
      <c r="L60" s="1087"/>
      <c r="M60" s="1087"/>
      <c r="N60" s="1087"/>
      <c r="O60" s="217"/>
    </row>
    <row r="61" spans="1:15" ht="11.25" customHeight="1" x14ac:dyDescent="0.15">
      <c r="A61" s="217"/>
      <c r="B61" s="1087"/>
      <c r="C61" s="1087"/>
      <c r="D61" s="1087"/>
      <c r="E61" s="1087"/>
      <c r="F61" s="1087"/>
      <c r="G61" s="1087"/>
      <c r="H61" s="220"/>
      <c r="I61" s="1087"/>
      <c r="J61" s="1087"/>
      <c r="K61" s="1087"/>
      <c r="L61" s="1087"/>
      <c r="M61" s="1087"/>
      <c r="N61" s="1087"/>
      <c r="O61" s="217"/>
    </row>
    <row r="62" spans="1:15" ht="11.25" customHeight="1" x14ac:dyDescent="0.15">
      <c r="A62" s="217"/>
      <c r="B62" s="1087"/>
      <c r="C62" s="1087"/>
      <c r="D62" s="1087"/>
      <c r="E62" s="1087"/>
      <c r="F62" s="1087"/>
      <c r="G62" s="1087"/>
      <c r="H62" s="220"/>
      <c r="I62" s="1087"/>
      <c r="J62" s="1087"/>
      <c r="K62" s="1087"/>
      <c r="L62" s="1087"/>
      <c r="M62" s="1087"/>
      <c r="N62" s="1087"/>
      <c r="O62" s="217"/>
    </row>
    <row r="63" spans="1:15" ht="11.25" customHeight="1" x14ac:dyDescent="0.15">
      <c r="A63" s="217"/>
      <c r="B63" s="1087"/>
      <c r="C63" s="1087"/>
      <c r="D63" s="1087"/>
      <c r="E63" s="1087"/>
      <c r="F63" s="1087"/>
      <c r="G63" s="1087"/>
      <c r="H63" s="220"/>
      <c r="I63" s="1087"/>
      <c r="J63" s="1087"/>
      <c r="K63" s="1087"/>
      <c r="L63" s="1087"/>
      <c r="M63" s="1087"/>
      <c r="N63" s="1087"/>
      <c r="O63" s="217"/>
    </row>
    <row r="64" spans="1:15" ht="11.25" customHeight="1" x14ac:dyDescent="0.15">
      <c r="A64" s="217"/>
      <c r="B64" s="1087"/>
      <c r="C64" s="1087"/>
      <c r="D64" s="1087"/>
      <c r="E64" s="1087"/>
      <c r="F64" s="1087"/>
      <c r="G64" s="1087"/>
      <c r="H64" s="220"/>
      <c r="I64" s="1087"/>
      <c r="J64" s="1087"/>
      <c r="K64" s="1087"/>
      <c r="L64" s="1087"/>
      <c r="M64" s="1087"/>
      <c r="N64" s="1087"/>
      <c r="O64" s="217"/>
    </row>
    <row r="65" spans="1:15" ht="11.25" customHeight="1" x14ac:dyDescent="0.15">
      <c r="A65" s="217"/>
      <c r="B65" s="1087"/>
      <c r="C65" s="1087"/>
      <c r="D65" s="1087"/>
      <c r="E65" s="1087"/>
      <c r="F65" s="1087"/>
      <c r="G65" s="1087"/>
      <c r="H65" s="220"/>
      <c r="I65" s="1087"/>
      <c r="J65" s="1087"/>
      <c r="K65" s="1087"/>
      <c r="L65" s="1087"/>
      <c r="M65" s="1087"/>
      <c r="N65" s="1087"/>
      <c r="O65" s="217"/>
    </row>
    <row r="66" spans="1:15" ht="11.25" customHeight="1" x14ac:dyDescent="0.15">
      <c r="A66" s="217"/>
      <c r="B66" s="1087"/>
      <c r="C66" s="1087"/>
      <c r="D66" s="1087"/>
      <c r="E66" s="1087"/>
      <c r="F66" s="1087"/>
      <c r="G66" s="1087"/>
      <c r="H66" s="220"/>
      <c r="I66" s="1087"/>
      <c r="J66" s="1087"/>
      <c r="K66" s="1087"/>
      <c r="L66" s="1087"/>
      <c r="M66" s="1087"/>
      <c r="N66" s="1087"/>
      <c r="O66" s="217"/>
    </row>
    <row r="67" spans="1:15" ht="11.25" customHeight="1" x14ac:dyDescent="0.15">
      <c r="A67" s="217"/>
      <c r="B67" s="1087"/>
      <c r="C67" s="1087"/>
      <c r="D67" s="1087"/>
      <c r="E67" s="1087"/>
      <c r="F67" s="1087"/>
      <c r="G67" s="1087"/>
      <c r="H67" s="220"/>
      <c r="I67" s="1087"/>
      <c r="J67" s="1087"/>
      <c r="K67" s="1087"/>
      <c r="L67" s="1087"/>
      <c r="M67" s="1087"/>
      <c r="N67" s="1087"/>
      <c r="O67" s="217"/>
    </row>
    <row r="68" spans="1:15" ht="11.25" customHeight="1" x14ac:dyDescent="0.15">
      <c r="A68" s="217"/>
      <c r="B68" s="1087"/>
      <c r="C68" s="1087"/>
      <c r="D68" s="1087"/>
      <c r="E68" s="1087"/>
      <c r="F68" s="1087"/>
      <c r="G68" s="1087"/>
      <c r="H68" s="220"/>
      <c r="I68" s="1087"/>
      <c r="J68" s="1087"/>
      <c r="K68" s="1087"/>
      <c r="L68" s="1087"/>
      <c r="M68" s="1087"/>
      <c r="N68" s="1087"/>
      <c r="O68" s="217"/>
    </row>
    <row r="69" spans="1:15" ht="11.25" customHeight="1" x14ac:dyDescent="0.15">
      <c r="A69" s="217"/>
      <c r="B69" s="1087"/>
      <c r="C69" s="1087"/>
      <c r="D69" s="1087"/>
      <c r="E69" s="1087"/>
      <c r="F69" s="1087"/>
      <c r="G69" s="1087"/>
      <c r="H69" s="220"/>
      <c r="I69" s="1087"/>
      <c r="J69" s="1087"/>
      <c r="K69" s="1087"/>
      <c r="L69" s="1087"/>
      <c r="M69" s="1087"/>
      <c r="N69" s="1087"/>
      <c r="O69" s="217"/>
    </row>
    <row r="70" spans="1:15" ht="11.25" customHeight="1" x14ac:dyDescent="0.15">
      <c r="A70" s="217"/>
      <c r="B70" s="220"/>
      <c r="C70" s="220"/>
      <c r="D70" s="220"/>
      <c r="E70" s="220"/>
      <c r="F70" s="220"/>
      <c r="G70" s="220"/>
      <c r="H70" s="220"/>
      <c r="I70" s="220"/>
      <c r="J70" s="220"/>
      <c r="K70" s="220"/>
      <c r="L70" s="220"/>
      <c r="M70" s="220"/>
      <c r="N70" s="220"/>
      <c r="O70" s="217"/>
    </row>
    <row r="71" spans="1:15" ht="11.25" customHeight="1" x14ac:dyDescent="0.15">
      <c r="A71" s="217"/>
      <c r="B71" s="1086"/>
      <c r="C71" s="1086"/>
      <c r="D71" s="1086"/>
      <c r="E71" s="1086"/>
      <c r="F71" s="1086"/>
      <c r="G71" s="1086"/>
      <c r="H71" s="217"/>
      <c r="I71" s="1086"/>
      <c r="J71" s="1086"/>
      <c r="K71" s="1086"/>
      <c r="L71" s="1086"/>
      <c r="M71" s="1086"/>
      <c r="N71" s="1086"/>
      <c r="O71" s="217"/>
    </row>
    <row r="72" spans="1:15" ht="9.9499999999999993" customHeight="1" x14ac:dyDescent="0.15">
      <c r="A72" s="217"/>
      <c r="B72" s="1088"/>
      <c r="C72" s="1088"/>
      <c r="D72" s="1088"/>
      <c r="E72" s="1088"/>
      <c r="F72" s="1088"/>
      <c r="G72" s="1088"/>
      <c r="H72" s="217"/>
      <c r="I72" s="1088"/>
      <c r="J72" s="1088"/>
      <c r="K72" s="1088"/>
      <c r="L72" s="1088"/>
      <c r="M72" s="1088"/>
      <c r="N72" s="1088"/>
      <c r="O72" s="217"/>
    </row>
    <row r="73" spans="1:15" ht="9.9499999999999993" customHeight="1" x14ac:dyDescent="0.15">
      <c r="A73" s="217"/>
      <c r="B73" s="1091"/>
      <c r="C73" s="1091"/>
      <c r="D73" s="1091"/>
      <c r="E73" s="1091"/>
      <c r="F73" s="1091"/>
      <c r="G73" s="1091"/>
      <c r="H73" s="217"/>
      <c r="I73" s="1086"/>
      <c r="J73" s="1086"/>
      <c r="K73" s="1086"/>
      <c r="L73" s="1086"/>
      <c r="M73" s="1086"/>
      <c r="N73" s="1086"/>
      <c r="O73" s="217"/>
    </row>
    <row r="74" spans="1:15" ht="9.9499999999999993" customHeight="1" x14ac:dyDescent="0.15">
      <c r="A74" s="216">
        <v>1</v>
      </c>
      <c r="B74" s="1091"/>
      <c r="C74" s="1091"/>
      <c r="D74" s="1091"/>
      <c r="E74" s="1091"/>
      <c r="F74" s="1091"/>
      <c r="G74" s="1091"/>
      <c r="H74" s="217"/>
      <c r="I74" s="1086"/>
      <c r="J74" s="1086"/>
      <c r="K74" s="1086"/>
      <c r="L74" s="1086"/>
      <c r="M74" s="1086"/>
      <c r="N74" s="1086"/>
      <c r="O74" s="217"/>
    </row>
    <row r="75" spans="1:15" ht="11.25" customHeight="1" x14ac:dyDescent="0.15">
      <c r="I75" s="1092"/>
      <c r="J75" s="1092"/>
      <c r="K75" s="1092"/>
      <c r="L75" s="1092"/>
      <c r="M75" s="1092"/>
      <c r="N75" s="1092"/>
    </row>
  </sheetData>
  <mergeCells count="35">
    <mergeCell ref="B74:G74"/>
    <mergeCell ref="I74:N74"/>
    <mergeCell ref="I75:N75"/>
    <mergeCell ref="B71:G71"/>
    <mergeCell ref="I71:N71"/>
    <mergeCell ref="B72:G72"/>
    <mergeCell ref="I72:N72"/>
    <mergeCell ref="B73:G73"/>
    <mergeCell ref="I73:N73"/>
    <mergeCell ref="B53:G69"/>
    <mergeCell ref="I53:N69"/>
    <mergeCell ref="I29:N29"/>
    <mergeCell ref="B30:G46"/>
    <mergeCell ref="I30:N46"/>
    <mergeCell ref="B48:G48"/>
    <mergeCell ref="I48:N48"/>
    <mergeCell ref="B49:G49"/>
    <mergeCell ref="I49:N49"/>
    <mergeCell ref="B50:G50"/>
    <mergeCell ref="I50:N50"/>
    <mergeCell ref="B51:G51"/>
    <mergeCell ref="I51:N51"/>
    <mergeCell ref="B52:O52"/>
    <mergeCell ref="B26:G26"/>
    <mergeCell ref="I26:N26"/>
    <mergeCell ref="B27:G27"/>
    <mergeCell ref="I27:N27"/>
    <mergeCell ref="B28:G28"/>
    <mergeCell ref="I28:N28"/>
    <mergeCell ref="D1:L2"/>
    <mergeCell ref="B6:O6"/>
    <mergeCell ref="B7:G23"/>
    <mergeCell ref="I7:N23"/>
    <mergeCell ref="B25:G25"/>
    <mergeCell ref="I25:N25"/>
  </mergeCells>
  <phoneticPr fontId="2"/>
  <conditionalFormatting sqref="C2 D1:M2 B25:N25 H27:N28 B49:G49 H26">
    <cfRule type="cellIs" dxfId="11" priority="12" stopIfTrue="1" operator="notBetween">
      <formula>0</formula>
      <formula>0</formula>
    </cfRule>
  </conditionalFormatting>
  <conditionalFormatting sqref="B71:N71 B51:N51 B73:N74 B48:N49">
    <cfRule type="cellIs" dxfId="10" priority="11" stopIfTrue="1" operator="notBetween">
      <formula>0</formula>
      <formula>0</formula>
    </cfRule>
  </conditionalFormatting>
  <conditionalFormatting sqref="I75:N75">
    <cfRule type="cellIs" dxfId="9" priority="10" stopIfTrue="1" operator="notBetween">
      <formula>0</formula>
      <formula>0</formula>
    </cfRule>
  </conditionalFormatting>
  <conditionalFormatting sqref="H50:N50">
    <cfRule type="cellIs" dxfId="7" priority="8" stopIfTrue="1" operator="notBetween">
      <formula>0</formula>
      <formula>0</formula>
    </cfRule>
  </conditionalFormatting>
  <conditionalFormatting sqref="H72:N72">
    <cfRule type="cellIs" dxfId="5" priority="6" stopIfTrue="1" operator="notBetween">
      <formula>0</formula>
      <formula>0</formula>
    </cfRule>
  </conditionalFormatting>
  <conditionalFormatting sqref="B72:G72">
    <cfRule type="cellIs" dxfId="4" priority="5" stopIfTrue="1" operator="notBetween">
      <formula>0</formula>
      <formula>0</formula>
    </cfRule>
  </conditionalFormatting>
  <conditionalFormatting sqref="I26:N26">
    <cfRule type="cellIs" dxfId="3" priority="4" stopIfTrue="1" operator="notBetween">
      <formula>0</formula>
      <formula>0</formula>
    </cfRule>
  </conditionalFormatting>
  <conditionalFormatting sqref="B27:G28">
    <cfRule type="cellIs" dxfId="2" priority="3" stopIfTrue="1" operator="notBetween">
      <formula>0</formula>
      <formula>0</formula>
    </cfRule>
  </conditionalFormatting>
  <conditionalFormatting sqref="B26:G26">
    <cfRule type="cellIs" dxfId="1" priority="2" stopIfTrue="1" operator="notBetween">
      <formula>0</formula>
      <formula>0</formula>
    </cfRule>
  </conditionalFormatting>
  <conditionalFormatting sqref="B50:G50">
    <cfRule type="cellIs" dxfId="0" priority="1" stopIfTrue="1" operator="notBetween">
      <formula>0</formula>
      <formula>0</formula>
    </cfRule>
  </conditionalFormatting>
  <printOptions horizontalCentered="1" verticalCentered="1"/>
  <pageMargins left="0.23622047244094491" right="3.937007874015748E-2" top="0" bottom="0"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5</vt:i4>
      </vt:variant>
    </vt:vector>
  </HeadingPairs>
  <TitlesOfParts>
    <vt:vector size="23" baseType="lpstr">
      <vt:lpstr>表紙</vt:lpstr>
      <vt:lpstr>外観点検</vt:lpstr>
      <vt:lpstr>接地・高圧絶縁</vt:lpstr>
      <vt:lpstr>SOG</vt:lpstr>
      <vt:lpstr>OVGR</vt:lpstr>
      <vt:lpstr>過電流継電器</vt:lpstr>
      <vt:lpstr>不足電圧</vt:lpstr>
      <vt:lpstr>低圧OVGR</vt:lpstr>
      <vt:lpstr>アレイ絶縁A1-A4</vt:lpstr>
      <vt:lpstr>アレイ絶縁A5-B2</vt:lpstr>
      <vt:lpstr>アレイ絶縁B3-C1</vt:lpstr>
      <vt:lpstr>アレイ絶縁C2-C5</vt:lpstr>
      <vt:lpstr>アレイ絶縁C6-C8</vt:lpstr>
      <vt:lpstr>アレイ絶縁D1-D3</vt:lpstr>
      <vt:lpstr>低圧絶縁</vt:lpstr>
      <vt:lpstr>総合保護連動</vt:lpstr>
      <vt:lpstr>2511</vt:lpstr>
      <vt:lpstr>台帳1（通常点検） (2)</vt:lpstr>
      <vt:lpstr>OVGR!Print_Area</vt:lpstr>
      <vt:lpstr>'台帳1（通常点検） (2)'!Print_Area</vt:lpstr>
      <vt:lpstr>低圧OVGR!Print_Area</vt:lpstr>
      <vt:lpstr>不足電圧!Print_Area</vt:lpstr>
      <vt:lpstr>'台帳1（通常点検） (2)'!Print_Titles</vt:lpstr>
    </vt:vector>
  </TitlesOfParts>
  <Company>デルコンピュータ（株）</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sesio</dc:creator>
  <cp:lastModifiedBy>本田修</cp:lastModifiedBy>
  <cp:lastPrinted>2025-11-27T23:05:34Z</cp:lastPrinted>
  <dcterms:created xsi:type="dcterms:W3CDTF">1999-03-15T08:22:34Z</dcterms:created>
  <dcterms:modified xsi:type="dcterms:W3CDTF">2025-11-27T23:09:23Z</dcterms:modified>
</cp:coreProperties>
</file>